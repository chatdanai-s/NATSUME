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BS\Desktop\EXOPLANET WORK\006 NATSUME\validation\Catalog_check_new\"/>
    </mc:Choice>
  </mc:AlternateContent>
  <xr:revisionPtr revIDLastSave="0" documentId="13_ncr:1_{4E58884B-2CED-4415-BAFF-58CFF693C9D3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2" i="1"/>
</calcChain>
</file>

<file path=xl/sharedStrings.xml><?xml version="1.0" encoding="utf-8"?>
<sst xmlns="http://schemas.openxmlformats.org/spreadsheetml/2006/main" count="264" uniqueCount="145">
  <si>
    <t>KOI_inner</t>
  </si>
  <si>
    <t>KOI_outer</t>
  </si>
  <si>
    <t>ephemeride_reference</t>
  </si>
  <si>
    <t>T0_inner</t>
  </si>
  <si>
    <t>T0_inner_err</t>
  </si>
  <si>
    <t>P_inner</t>
  </si>
  <si>
    <t>P_inner_err</t>
  </si>
  <si>
    <t>T0_outer</t>
  </si>
  <si>
    <t>T0_outer_err</t>
  </si>
  <si>
    <t>P_outer</t>
  </si>
  <si>
    <t>P_outer_err</t>
  </si>
  <si>
    <t>pl_mass_inner</t>
  </si>
  <si>
    <t>pl_mass_inner_err</t>
  </si>
  <si>
    <t>pl_mass_outer</t>
  </si>
  <si>
    <t>pl_mass_outer_err</t>
  </si>
  <si>
    <t>e_inner</t>
  </si>
  <si>
    <t>e_inner_err</t>
  </si>
  <si>
    <t>e_outer</t>
  </si>
  <si>
    <t>e_outer_err</t>
  </si>
  <si>
    <t>peri_inner</t>
  </si>
  <si>
    <t>peri_inner_err</t>
  </si>
  <si>
    <t>peri_outer</t>
  </si>
  <si>
    <t>peri_outer_err</t>
  </si>
  <si>
    <t>st_mass</t>
  </si>
  <si>
    <t>st_mass_error</t>
  </si>
  <si>
    <t>name_inner</t>
  </si>
  <si>
    <t>name_outer</t>
  </si>
  <si>
    <t>j</t>
  </si>
  <si>
    <t>N</t>
  </si>
  <si>
    <t>expected_Pttv</t>
  </si>
  <si>
    <t>Delta</t>
  </si>
  <si>
    <t>MMR</t>
  </si>
  <si>
    <t>ephemeride_reference_doi</t>
  </si>
  <si>
    <t>TOI-2015b</t>
  </si>
  <si>
    <t>TOI-2015c</t>
  </si>
  <si>
    <t>Kepler-18c</t>
  </si>
  <si>
    <t>Kepler-18d</t>
  </si>
  <si>
    <t>Holczer+16</t>
  </si>
  <si>
    <t>Kepler-79b</t>
  </si>
  <si>
    <t>Kepler-79c</t>
  </si>
  <si>
    <t>Kepler-11b</t>
  </si>
  <si>
    <t>Kepler-11c</t>
  </si>
  <si>
    <t>Kepler-11d</t>
  </si>
  <si>
    <t>Kepler-11e</t>
  </si>
  <si>
    <t>Kepler-25b</t>
  </si>
  <si>
    <t>Kepler-25c</t>
  </si>
  <si>
    <t>Kepler-49b</t>
  </si>
  <si>
    <t>Kepler-49c</t>
  </si>
  <si>
    <t>Kepler-80b</t>
  </si>
  <si>
    <t>Kepler-80c</t>
  </si>
  <si>
    <t>Kepler-80e</t>
  </si>
  <si>
    <t>Kepler-11f</t>
  </si>
  <si>
    <t>Kepler-23b</t>
  </si>
  <si>
    <t>Kepler-23c</t>
  </si>
  <si>
    <t>Kepler-9b</t>
  </si>
  <si>
    <t>Kepler-9c</t>
  </si>
  <si>
    <t>Kepler-52b</t>
  </si>
  <si>
    <t>Kepler-52c</t>
  </si>
  <si>
    <t>Kepler-238e</t>
  </si>
  <si>
    <t>Kepler-238f</t>
  </si>
  <si>
    <t>Kepler-27b</t>
  </si>
  <si>
    <t>Kepler-27c</t>
  </si>
  <si>
    <t>Kepler-28b</t>
  </si>
  <si>
    <t>Kepler-28c</t>
  </si>
  <si>
    <t>Kepler-81b</t>
  </si>
  <si>
    <t>Kepler-81c</t>
  </si>
  <si>
    <t>Kepler-54b</t>
  </si>
  <si>
    <t>Kepler-54c</t>
  </si>
  <si>
    <t>Kepler-32b</t>
  </si>
  <si>
    <t>Kepler-32c</t>
  </si>
  <si>
    <t>Kepler-24b</t>
  </si>
  <si>
    <t>Kepler-24c</t>
  </si>
  <si>
    <t>Kepler-277b</t>
  </si>
  <si>
    <t>Kepler-277c</t>
  </si>
  <si>
    <t>Kepler-279c</t>
  </si>
  <si>
    <t>Kepler-279d</t>
  </si>
  <si>
    <t>Kepler-56b</t>
  </si>
  <si>
    <t>Kepler-56c</t>
  </si>
  <si>
    <t>Kepler-297b</t>
  </si>
  <si>
    <t>Kepler-297c</t>
  </si>
  <si>
    <t>Kepler-59b</t>
  </si>
  <si>
    <t>Kepler-59c</t>
  </si>
  <si>
    <t>Kepler-396b</t>
  </si>
  <si>
    <t>Kepler-396c</t>
  </si>
  <si>
    <t>TOI-2202b</t>
  </si>
  <si>
    <t>TOI-2202c</t>
  </si>
  <si>
    <t>WASP-148b</t>
  </si>
  <si>
    <t>WASP-148c</t>
  </si>
  <si>
    <t>TOI-4504c</t>
  </si>
  <si>
    <t>TOI-4504d</t>
  </si>
  <si>
    <t>KOI-94c</t>
  </si>
  <si>
    <t>KOI-94d</t>
  </si>
  <si>
    <t>Kokkori+25</t>
  </si>
  <si>
    <t>TOI-125b</t>
  </si>
  <si>
    <t>TOI-125c</t>
  </si>
  <si>
    <t>TOI-216.01</t>
  </si>
  <si>
    <t>TOI-270b</t>
  </si>
  <si>
    <t>TOI-270c</t>
  </si>
  <si>
    <t>TOI-270d</t>
  </si>
  <si>
    <t>TOI-1130b</t>
  </si>
  <si>
    <t>TOI-1130c</t>
  </si>
  <si>
    <t>TOI-1136c</t>
  </si>
  <si>
    <t>TOI-1136d</t>
  </si>
  <si>
    <t>10.3847/0067-0049/225/1/9</t>
  </si>
  <si>
    <t>10.48550/arXiv.2511.14407</t>
  </si>
  <si>
    <t>Kepler-36b</t>
  </si>
  <si>
    <t>Kepler-36c</t>
  </si>
  <si>
    <t>Kepler-450b</t>
  </si>
  <si>
    <t>Kepler-450c</t>
  </si>
  <si>
    <t>TOI-216.02</t>
  </si>
  <si>
    <t>TOI-2525b</t>
  </si>
  <si>
    <t>TOI-2525c</t>
  </si>
  <si>
    <t>TOI-6109b</t>
  </si>
  <si>
    <t>TOI-6109c</t>
  </si>
  <si>
    <t>parameter_reference</t>
  </si>
  <si>
    <t>parameter_reference_doi</t>
  </si>
  <si>
    <t>L98-59c</t>
  </si>
  <si>
    <t>L98-59d</t>
  </si>
  <si>
    <t>K2-24b</t>
  </si>
  <si>
    <t>K2-24c</t>
  </si>
  <si>
    <t>2:1</t>
  </si>
  <si>
    <t>5:4</t>
  </si>
  <si>
    <t>3:2</t>
  </si>
  <si>
    <t>4:3</t>
  </si>
  <si>
    <t>7:6</t>
  </si>
  <si>
    <t>4:1</t>
  </si>
  <si>
    <t>5:3</t>
  </si>
  <si>
    <t>Cochran+11</t>
  </si>
  <si>
    <t>10.1088/0067-0049/197/1/7</t>
  </si>
  <si>
    <t>Borsato+09</t>
  </si>
  <si>
    <t>10.1093/mnras/stz181</t>
  </si>
  <si>
    <t>Almenara+22</t>
  </si>
  <si>
    <t>10.1051/0004-6361/202142964</t>
  </si>
  <si>
    <t>Jontof-Hutter+14</t>
  </si>
  <si>
    <t>10.1088/0004-637X/785/1/15</t>
  </si>
  <si>
    <t>Borsato+14</t>
  </si>
  <si>
    <t>10.1051/0004-6361/201424080</t>
  </si>
  <si>
    <t>Leleu+23</t>
  </si>
  <si>
    <t>10.1051/0004-6361/202244132</t>
  </si>
  <si>
    <t>Mills+19</t>
  </si>
  <si>
    <t>10.3847/1538-3881/ab0899</t>
  </si>
  <si>
    <t>Vissapragada+20</t>
  </si>
  <si>
    <t>10.3847/1538-3881/ab65c8</t>
  </si>
  <si>
    <t>Weisserman+23</t>
  </si>
  <si>
    <t>10.3847/1538-3881/acac80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</si>
</sst>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4"/>
  <sheetViews>
    <sheetView tabSelected="1" topLeftCell="W1" zoomScale="80" zoomScaleNormal="115" workbookViewId="0">
      <selection activeCell="AM15" sqref="AM15"/>
    </sheetView>
  </sheetViews>
  <sheetFormatPr defaultRowHeight="14.6" x14ac:dyDescent="0.4"/>
  <cols>
    <col min="3" max="12" width="10.4609375" customWidth="1"/>
    <col min="13" max="13" width="10.4609375" style="2" customWidth="1"/>
    <col min="14" max="37" width="10.4609375" customWidth="1"/>
  </cols>
  <sheetData>
    <row r="1" spans="1:35" x14ac:dyDescent="0.4">
      <c r="A1" t="s">
        <v>0</v>
      </c>
      <c r="B1" t="s">
        <v>1</v>
      </c>
      <c r="C1" t="s">
        <v>25</v>
      </c>
      <c r="D1" t="s">
        <v>26</v>
      </c>
      <c r="E1" t="s">
        <v>3</v>
      </c>
      <c r="F1" t="s">
        <v>4</v>
      </c>
      <c r="G1" t="s">
        <v>7</v>
      </c>
      <c r="H1" t="s">
        <v>8</v>
      </c>
      <c r="I1" t="s">
        <v>5</v>
      </c>
      <c r="J1" t="s">
        <v>6</v>
      </c>
      <c r="K1" t="s">
        <v>9</v>
      </c>
      <c r="L1" t="s">
        <v>10</v>
      </c>
      <c r="M1" s="2" t="s">
        <v>31</v>
      </c>
      <c r="N1" t="s">
        <v>27</v>
      </c>
      <c r="O1" t="s">
        <v>28</v>
      </c>
      <c r="P1" t="s">
        <v>30</v>
      </c>
      <c r="Q1" t="s">
        <v>29</v>
      </c>
      <c r="R1" t="s">
        <v>2</v>
      </c>
      <c r="S1" t="s">
        <v>32</v>
      </c>
      <c r="T1" t="s">
        <v>11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  <c r="AG1" t="s">
        <v>24</v>
      </c>
      <c r="AH1" t="s">
        <v>114</v>
      </c>
      <c r="AI1" t="s">
        <v>115</v>
      </c>
    </row>
    <row r="2" spans="1:35" x14ac:dyDescent="0.4">
      <c r="A2">
        <v>137.01</v>
      </c>
      <c r="B2">
        <v>137.02000000000001</v>
      </c>
      <c r="C2" t="s">
        <v>35</v>
      </c>
      <c r="D2" t="s">
        <v>36</v>
      </c>
      <c r="E2">
        <v>2454960.7678379999</v>
      </c>
      <c r="F2">
        <v>5.0199999999999995E-4</v>
      </c>
      <c r="G2">
        <v>2455704.0999799999</v>
      </c>
      <c r="H2">
        <v>2.5999999999999998E-4</v>
      </c>
      <c r="I2">
        <v>7.6415621900000001</v>
      </c>
      <c r="J2" s="1">
        <v>5.7000000000000005E-7</v>
      </c>
      <c r="K2">
        <v>14.8589225</v>
      </c>
      <c r="L2" s="1">
        <v>9.2E-6</v>
      </c>
      <c r="M2" s="2" t="s">
        <v>120</v>
      </c>
      <c r="N2">
        <v>2</v>
      </c>
      <c r="O2">
        <v>1</v>
      </c>
      <c r="P2">
        <f>K2/I2*(N2-O2)/N2 - 1</f>
        <v>-2.7756227683072732E-2</v>
      </c>
      <c r="Q2">
        <f>1/ABS(N2/K2-(N2-O2)/I2)</f>
        <v>267.66826295098014</v>
      </c>
      <c r="R2" t="s">
        <v>37</v>
      </c>
      <c r="S2" t="s">
        <v>103</v>
      </c>
      <c r="T2">
        <v>5.3999999999999999E-2</v>
      </c>
      <c r="U2">
        <v>6.0000000000000001E-3</v>
      </c>
      <c r="V2">
        <v>5.1999999999999998E-2</v>
      </c>
      <c r="W2">
        <v>4.0000000000000001E-3</v>
      </c>
      <c r="X2" s="1">
        <v>3.39E-4</v>
      </c>
      <c r="Y2" s="1"/>
      <c r="Z2" s="1"/>
      <c r="AA2" s="1"/>
      <c r="AB2" s="1"/>
      <c r="AC2" s="1"/>
      <c r="AD2" s="1"/>
      <c r="AE2" s="1"/>
      <c r="AF2">
        <v>0.97199999999999998</v>
      </c>
      <c r="AG2">
        <v>4.2000000000000003E-2</v>
      </c>
      <c r="AH2" t="s">
        <v>127</v>
      </c>
      <c r="AI2" t="s">
        <v>128</v>
      </c>
    </row>
    <row r="3" spans="1:35" x14ac:dyDescent="0.4">
      <c r="A3">
        <v>152.03</v>
      </c>
      <c r="B3">
        <v>152.02000000000001</v>
      </c>
      <c r="C3" t="s">
        <v>38</v>
      </c>
      <c r="D3" t="s">
        <v>39</v>
      </c>
      <c r="E3">
        <v>2454969.6222080002</v>
      </c>
      <c r="F3">
        <v>2.176E-3</v>
      </c>
      <c r="G3">
        <v>2454966.625606</v>
      </c>
      <c r="H3">
        <v>3.3479999999999998E-3</v>
      </c>
      <c r="I3">
        <v>13.484529390000001</v>
      </c>
      <c r="J3" s="1">
        <v>2.5600000000000001E-6</v>
      </c>
      <c r="K3">
        <v>27.402361899999999</v>
      </c>
      <c r="L3" s="1">
        <v>3.72E-6</v>
      </c>
      <c r="M3" s="2" t="s">
        <v>120</v>
      </c>
      <c r="N3">
        <v>2</v>
      </c>
      <c r="O3">
        <v>1</v>
      </c>
      <c r="P3">
        <f t="shared" ref="P3:P44" si="0">K3/I3*(N3-O3)/N3 - 1</f>
        <v>1.6066675649849982E-2</v>
      </c>
      <c r="Q3">
        <f t="shared" ref="Q3:Q44" si="1">1/ABS(N3/K3-(N3-O3)/I3)</f>
        <v>852.77012174749518</v>
      </c>
      <c r="R3" t="s">
        <v>37</v>
      </c>
      <c r="S3" t="s">
        <v>103</v>
      </c>
      <c r="AH3" t="s">
        <v>133</v>
      </c>
      <c r="AI3" t="s">
        <v>134</v>
      </c>
    </row>
    <row r="4" spans="1:35" x14ac:dyDescent="0.4">
      <c r="A4">
        <v>157.06</v>
      </c>
      <c r="B4">
        <v>157.01</v>
      </c>
      <c r="C4" t="s">
        <v>40</v>
      </c>
      <c r="D4" t="s">
        <v>41</v>
      </c>
      <c r="E4">
        <v>2454971.4994740002</v>
      </c>
      <c r="F4">
        <v>2.8890000000000001E-3</v>
      </c>
      <c r="G4">
        <v>2454971.1773509998</v>
      </c>
      <c r="H4">
        <v>1.531E-3</v>
      </c>
      <c r="I4">
        <v>10.30402569</v>
      </c>
      <c r="J4" s="1">
        <v>3.19E-6</v>
      </c>
      <c r="K4">
        <v>13.02490605</v>
      </c>
      <c r="L4" s="1">
        <v>1.7600000000000001E-6</v>
      </c>
      <c r="M4" s="2" t="s">
        <v>121</v>
      </c>
      <c r="N4">
        <v>5</v>
      </c>
      <c r="O4">
        <v>1</v>
      </c>
      <c r="P4">
        <f t="shared" si="0"/>
        <v>1.12479484705168E-2</v>
      </c>
      <c r="Q4">
        <f t="shared" si="1"/>
        <v>231.59611877918911</v>
      </c>
      <c r="R4" t="s">
        <v>37</v>
      </c>
      <c r="S4" t="s">
        <v>103</v>
      </c>
      <c r="AH4" t="s">
        <v>135</v>
      </c>
      <c r="AI4" t="s">
        <v>136</v>
      </c>
    </row>
    <row r="5" spans="1:35" x14ac:dyDescent="0.4">
      <c r="A5">
        <v>157.03</v>
      </c>
      <c r="B5">
        <v>157.04</v>
      </c>
      <c r="C5" t="s">
        <v>43</v>
      </c>
      <c r="D5" t="s">
        <v>51</v>
      </c>
      <c r="E5">
        <v>2454987.163005</v>
      </c>
      <c r="F5">
        <v>2.0600000000000002E-3</v>
      </c>
      <c r="G5">
        <v>2454964.67099</v>
      </c>
      <c r="H5">
        <v>8.5719999999999998E-3</v>
      </c>
      <c r="I5">
        <v>31.9954389</v>
      </c>
      <c r="J5" s="1">
        <v>2.2800000000000002E-6</v>
      </c>
      <c r="K5">
        <v>46.685688570000003</v>
      </c>
      <c r="L5" s="1">
        <v>9.0999999999999993E-6</v>
      </c>
      <c r="M5" s="2" t="s">
        <v>122</v>
      </c>
      <c r="N5">
        <v>3</v>
      </c>
      <c r="O5">
        <v>1</v>
      </c>
      <c r="P5">
        <f t="shared" si="0"/>
        <v>-2.7242836790715153E-2</v>
      </c>
      <c r="Q5">
        <f t="shared" si="1"/>
        <v>571.22891824921203</v>
      </c>
      <c r="R5" t="s">
        <v>37</v>
      </c>
      <c r="S5" t="s">
        <v>103</v>
      </c>
      <c r="AH5" t="s">
        <v>135</v>
      </c>
      <c r="AI5" t="s">
        <v>136</v>
      </c>
    </row>
    <row r="6" spans="1:35" x14ac:dyDescent="0.4">
      <c r="A6">
        <v>157.02000000000001</v>
      </c>
      <c r="B6">
        <v>157.03</v>
      </c>
      <c r="C6" t="s">
        <v>42</v>
      </c>
      <c r="D6" t="s">
        <v>43</v>
      </c>
      <c r="E6">
        <v>2454981.4558529998</v>
      </c>
      <c r="F6">
        <v>1.954E-3</v>
      </c>
      <c r="G6">
        <v>2454987.163005</v>
      </c>
      <c r="H6">
        <v>2.0600000000000002E-3</v>
      </c>
      <c r="I6">
        <v>22.687142510000001</v>
      </c>
      <c r="J6" s="1">
        <v>2.1500000000000002E-6</v>
      </c>
      <c r="K6">
        <v>31.9954389</v>
      </c>
      <c r="L6" s="1">
        <v>2.2800000000000002E-6</v>
      </c>
      <c r="M6" s="2" t="s">
        <v>123</v>
      </c>
      <c r="N6">
        <v>4</v>
      </c>
      <c r="O6">
        <v>1</v>
      </c>
      <c r="P6">
        <f t="shared" si="0"/>
        <v>5.7717126095665261E-2</v>
      </c>
      <c r="Q6">
        <f t="shared" si="1"/>
        <v>138.58728363817011</v>
      </c>
      <c r="R6" t="s">
        <v>37</v>
      </c>
      <c r="S6" t="s">
        <v>103</v>
      </c>
      <c r="AH6" t="s">
        <v>135</v>
      </c>
      <c r="AI6" t="s">
        <v>136</v>
      </c>
    </row>
    <row r="7" spans="1:35" x14ac:dyDescent="0.4">
      <c r="A7">
        <v>168.03</v>
      </c>
      <c r="B7">
        <v>168.01</v>
      </c>
      <c r="C7" t="s">
        <v>52</v>
      </c>
      <c r="D7" t="s">
        <v>53</v>
      </c>
      <c r="E7">
        <v>2454957.1122790002</v>
      </c>
      <c r="F7">
        <v>9.2999999999999992E-3</v>
      </c>
      <c r="G7">
        <v>2454955.5406240001</v>
      </c>
      <c r="H7">
        <v>3.1199999999999999E-3</v>
      </c>
      <c r="I7">
        <v>7.1069775499999999</v>
      </c>
      <c r="J7" s="1">
        <v>1.048E-5</v>
      </c>
      <c r="K7">
        <v>10.74244253</v>
      </c>
      <c r="L7" s="1">
        <v>3.49E-6</v>
      </c>
      <c r="M7" s="2" t="s">
        <v>122</v>
      </c>
      <c r="N7">
        <v>3</v>
      </c>
      <c r="O7">
        <v>1</v>
      </c>
      <c r="P7">
        <f t="shared" si="0"/>
        <v>7.6897391259289627E-3</v>
      </c>
      <c r="Q7">
        <f t="shared" si="1"/>
        <v>465.66133363257177</v>
      </c>
      <c r="R7" t="s">
        <v>37</v>
      </c>
      <c r="S7" t="s">
        <v>103</v>
      </c>
      <c r="AH7" t="s">
        <v>137</v>
      </c>
      <c r="AI7" t="s">
        <v>138</v>
      </c>
    </row>
    <row r="8" spans="1:35" x14ac:dyDescent="0.4">
      <c r="A8">
        <v>244.02</v>
      </c>
      <c r="B8">
        <v>244.01</v>
      </c>
      <c r="C8" t="s">
        <v>44</v>
      </c>
      <c r="D8" t="s">
        <v>45</v>
      </c>
      <c r="E8">
        <v>2454954.798343</v>
      </c>
      <c r="F8">
        <v>4.6900000000000002E-4</v>
      </c>
      <c r="G8">
        <v>2454960.6464189999</v>
      </c>
      <c r="H8">
        <v>2.6200000000000003E-4</v>
      </c>
      <c r="I8">
        <v>6.2385355499999999</v>
      </c>
      <c r="J8" s="1">
        <v>5.3000000000000001E-7</v>
      </c>
      <c r="K8">
        <v>12.72037372</v>
      </c>
      <c r="L8" s="1">
        <v>2.8999999999999998E-7</v>
      </c>
      <c r="M8" s="2" t="s">
        <v>120</v>
      </c>
      <c r="N8">
        <v>2</v>
      </c>
      <c r="O8">
        <v>1</v>
      </c>
      <c r="P8">
        <f t="shared" si="0"/>
        <v>1.9499978644827998E-2</v>
      </c>
      <c r="Q8">
        <f t="shared" si="1"/>
        <v>326.16378591198747</v>
      </c>
      <c r="R8" t="s">
        <v>37</v>
      </c>
      <c r="S8" t="s">
        <v>103</v>
      </c>
      <c r="AH8" t="s">
        <v>139</v>
      </c>
      <c r="AI8" t="s">
        <v>140</v>
      </c>
    </row>
    <row r="9" spans="1:35" x14ac:dyDescent="0.4">
      <c r="A9">
        <v>248.01</v>
      </c>
      <c r="B9">
        <v>248.02</v>
      </c>
      <c r="C9" t="s">
        <v>46</v>
      </c>
      <c r="D9" t="s">
        <v>47</v>
      </c>
      <c r="E9">
        <v>2454967.2680850001</v>
      </c>
      <c r="F9">
        <v>1.562E-3</v>
      </c>
      <c r="G9">
        <v>2454970.1166119999</v>
      </c>
      <c r="H9">
        <v>3.0990000000000002E-3</v>
      </c>
      <c r="I9">
        <v>7.2038525800000004</v>
      </c>
      <c r="J9" s="1">
        <v>1.73E-6</v>
      </c>
      <c r="K9">
        <v>10.912717519999999</v>
      </c>
      <c r="L9" s="1">
        <v>3.3900000000000002E-6</v>
      </c>
      <c r="M9" s="2" t="s">
        <v>122</v>
      </c>
      <c r="N9">
        <v>3</v>
      </c>
      <c r="O9">
        <v>1</v>
      </c>
      <c r="P9">
        <f t="shared" si="0"/>
        <v>9.8964314638061435E-3</v>
      </c>
      <c r="Q9">
        <f t="shared" si="1"/>
        <v>367.56405780914451</v>
      </c>
      <c r="R9" t="s">
        <v>37</v>
      </c>
      <c r="S9" t="s">
        <v>103</v>
      </c>
      <c r="AH9" t="s">
        <v>137</v>
      </c>
      <c r="AI9" t="s">
        <v>138</v>
      </c>
    </row>
    <row r="10" spans="1:35" x14ac:dyDescent="0.4">
      <c r="A10">
        <v>277.02</v>
      </c>
      <c r="B10">
        <v>277.01</v>
      </c>
      <c r="C10" t="s">
        <v>105</v>
      </c>
      <c r="D10" t="s">
        <v>106</v>
      </c>
      <c r="E10">
        <v>2454960.8628159999</v>
      </c>
      <c r="F10">
        <v>2.7837000000000001E-2</v>
      </c>
      <c r="G10">
        <v>2454955.9776699999</v>
      </c>
      <c r="H10">
        <v>1.3792E-2</v>
      </c>
      <c r="I10">
        <v>13.84911836</v>
      </c>
      <c r="J10" s="1">
        <v>3.0559999999999999E-5</v>
      </c>
      <c r="K10">
        <v>16.23189245</v>
      </c>
      <c r="L10" s="1">
        <v>1.5970000000000001E-5</v>
      </c>
      <c r="M10" s="2" t="s">
        <v>124</v>
      </c>
      <c r="N10">
        <v>7</v>
      </c>
      <c r="O10">
        <v>1</v>
      </c>
      <c r="P10">
        <f t="shared" si="0"/>
        <v>4.6163452262220073E-3</v>
      </c>
      <c r="Q10">
        <f t="shared" si="1"/>
        <v>502.31117148686332</v>
      </c>
      <c r="R10" t="s">
        <v>37</v>
      </c>
      <c r="S10" t="s">
        <v>103</v>
      </c>
      <c r="AH10" t="s">
        <v>141</v>
      </c>
      <c r="AI10" t="s">
        <v>142</v>
      </c>
    </row>
    <row r="11" spans="1:35" x14ac:dyDescent="0.4">
      <c r="A11">
        <v>377.01</v>
      </c>
      <c r="B11">
        <v>377.02</v>
      </c>
      <c r="C11" t="s">
        <v>54</v>
      </c>
      <c r="D11" t="s">
        <v>55</v>
      </c>
      <c r="E11">
        <v>2454977.4931490002</v>
      </c>
      <c r="F11">
        <v>6.8478999999999998E-2</v>
      </c>
      <c r="G11">
        <v>2454968.8962130002</v>
      </c>
      <c r="H11">
        <v>0.20644699999999999</v>
      </c>
      <c r="I11">
        <v>19.246286489999999</v>
      </c>
      <c r="J11" s="1">
        <v>7.6379999999999997E-5</v>
      </c>
      <c r="K11">
        <v>38.949808509999997</v>
      </c>
      <c r="L11">
        <v>2.2939999999999999E-4</v>
      </c>
      <c r="M11" s="2" t="s">
        <v>120</v>
      </c>
      <c r="N11">
        <v>2</v>
      </c>
      <c r="O11">
        <v>1</v>
      </c>
      <c r="P11">
        <f t="shared" si="0"/>
        <v>1.1878539016801248E-2</v>
      </c>
      <c r="Q11">
        <f t="shared" si="1"/>
        <v>1639.503328435781</v>
      </c>
      <c r="R11" t="s">
        <v>37</v>
      </c>
      <c r="S11" t="s">
        <v>103</v>
      </c>
      <c r="AH11" t="s">
        <v>129</v>
      </c>
      <c r="AI11" t="s">
        <v>130</v>
      </c>
    </row>
    <row r="12" spans="1:35" x14ac:dyDescent="0.4">
      <c r="A12">
        <v>500.01</v>
      </c>
      <c r="B12">
        <v>500.02</v>
      </c>
      <c r="C12" t="s">
        <v>48</v>
      </c>
      <c r="D12" t="s">
        <v>49</v>
      </c>
      <c r="E12">
        <v>2454967.1544059999</v>
      </c>
      <c r="F12">
        <v>1.6689999999999999E-3</v>
      </c>
      <c r="G12">
        <v>2454972.3991080001</v>
      </c>
      <c r="H12">
        <v>1.8810000000000001E-3</v>
      </c>
      <c r="I12">
        <v>7.0535118700000003</v>
      </c>
      <c r="J12" s="1">
        <v>1.9099999999999999E-6</v>
      </c>
      <c r="K12">
        <v>9.5216308999999999</v>
      </c>
      <c r="L12" s="1">
        <v>2.12E-6</v>
      </c>
      <c r="M12" s="2" t="s">
        <v>123</v>
      </c>
      <c r="N12">
        <v>4</v>
      </c>
      <c r="O12">
        <v>1</v>
      </c>
      <c r="P12">
        <f t="shared" si="0"/>
        <v>1.2435125454747453E-2</v>
      </c>
      <c r="Q12">
        <f t="shared" si="1"/>
        <v>191.42611256014561</v>
      </c>
      <c r="R12" t="s">
        <v>37</v>
      </c>
      <c r="S12" t="s">
        <v>103</v>
      </c>
      <c r="AH12" t="s">
        <v>143</v>
      </c>
      <c r="AI12" t="s">
        <v>144</v>
      </c>
    </row>
    <row r="13" spans="1:35" x14ac:dyDescent="0.4">
      <c r="A13">
        <v>500.04</v>
      </c>
      <c r="B13">
        <v>500.01</v>
      </c>
      <c r="C13" t="s">
        <v>50</v>
      </c>
      <c r="D13" t="s">
        <v>48</v>
      </c>
      <c r="E13">
        <v>2454967.5946920002</v>
      </c>
      <c r="F13">
        <v>3.9909999999999998E-3</v>
      </c>
      <c r="G13">
        <v>2454967.1544059999</v>
      </c>
      <c r="H13">
        <v>1.6689999999999999E-3</v>
      </c>
      <c r="I13">
        <v>4.6453463499999996</v>
      </c>
      <c r="J13" s="1">
        <v>4.6800000000000001E-6</v>
      </c>
      <c r="K13">
        <v>7.0535118700000003</v>
      </c>
      <c r="L13" s="1">
        <v>1.9099999999999999E-6</v>
      </c>
      <c r="M13" s="2" t="s">
        <v>122</v>
      </c>
      <c r="N13">
        <v>3</v>
      </c>
      <c r="O13">
        <v>1</v>
      </c>
      <c r="P13">
        <f t="shared" si="0"/>
        <v>1.2269245901689763E-2</v>
      </c>
      <c r="Q13">
        <f t="shared" si="1"/>
        <v>191.63122511135782</v>
      </c>
      <c r="R13" t="s">
        <v>37</v>
      </c>
      <c r="S13" t="s">
        <v>103</v>
      </c>
      <c r="AH13" t="s">
        <v>143</v>
      </c>
      <c r="AI13" t="s">
        <v>144</v>
      </c>
    </row>
    <row r="14" spans="1:35" x14ac:dyDescent="0.4">
      <c r="A14">
        <v>500.04</v>
      </c>
      <c r="B14">
        <v>500.02</v>
      </c>
      <c r="C14" t="s">
        <v>50</v>
      </c>
      <c r="D14" t="s">
        <v>49</v>
      </c>
      <c r="E14">
        <v>2454967.5946920002</v>
      </c>
      <c r="F14">
        <v>3.9909999999999998E-3</v>
      </c>
      <c r="G14">
        <v>2454972.3991080001</v>
      </c>
      <c r="H14">
        <v>1.8810000000000001E-3</v>
      </c>
      <c r="I14">
        <v>4.6453463499999996</v>
      </c>
      <c r="J14" s="1">
        <v>4.6800000000000001E-6</v>
      </c>
      <c r="K14">
        <v>9.5216308999999999</v>
      </c>
      <c r="L14" s="1">
        <v>2.12E-6</v>
      </c>
      <c r="M14" s="2" t="s">
        <v>120</v>
      </c>
      <c r="N14">
        <v>2</v>
      </c>
      <c r="O14">
        <v>1</v>
      </c>
      <c r="P14">
        <f t="shared" si="0"/>
        <v>2.4856940968459806E-2</v>
      </c>
      <c r="Q14">
        <f t="shared" si="1"/>
        <v>191.52861392078921</v>
      </c>
      <c r="R14" t="s">
        <v>37</v>
      </c>
      <c r="S14" t="s">
        <v>103</v>
      </c>
      <c r="AH14" t="s">
        <v>143</v>
      </c>
      <c r="AI14" t="s">
        <v>144</v>
      </c>
    </row>
    <row r="15" spans="1:35" x14ac:dyDescent="0.4">
      <c r="A15">
        <v>775.02</v>
      </c>
      <c r="B15">
        <v>775.01</v>
      </c>
      <c r="C15" t="s">
        <v>56</v>
      </c>
      <c r="D15" t="s">
        <v>57</v>
      </c>
      <c r="E15">
        <v>2454969.9886639998</v>
      </c>
      <c r="F15">
        <v>2.1389999999999998E-3</v>
      </c>
      <c r="G15">
        <v>2454972.9592220001</v>
      </c>
      <c r="H15">
        <v>3.392E-3</v>
      </c>
      <c r="I15">
        <v>7.8774264499999997</v>
      </c>
      <c r="J15" s="1">
        <v>2.48E-6</v>
      </c>
      <c r="K15">
        <v>16.38482024</v>
      </c>
      <c r="L15" s="1">
        <v>3.8999999999999999E-6</v>
      </c>
      <c r="M15" s="2" t="s">
        <v>120</v>
      </c>
      <c r="N15">
        <v>2</v>
      </c>
      <c r="O15">
        <v>1</v>
      </c>
      <c r="P15">
        <f t="shared" si="0"/>
        <v>3.9985605958910542E-2</v>
      </c>
      <c r="Q15">
        <f t="shared" si="1"/>
        <v>204.88398071092254</v>
      </c>
      <c r="R15" t="s">
        <v>37</v>
      </c>
      <c r="S15" t="s">
        <v>103</v>
      </c>
      <c r="AH15" t="s">
        <v>137</v>
      </c>
      <c r="AI15" t="s">
        <v>138</v>
      </c>
    </row>
    <row r="16" spans="1:35" x14ac:dyDescent="0.4">
      <c r="A16">
        <v>834.01</v>
      </c>
      <c r="B16">
        <v>834.05</v>
      </c>
      <c r="C16" t="s">
        <v>58</v>
      </c>
      <c r="D16" t="s">
        <v>59</v>
      </c>
      <c r="E16">
        <v>2454980.7210960002</v>
      </c>
      <c r="F16">
        <v>9.4799999999999995E-4</v>
      </c>
      <c r="G16">
        <v>2455011.4899300002</v>
      </c>
      <c r="H16">
        <v>1.5041000000000001E-2</v>
      </c>
      <c r="I16">
        <v>23.653675669999998</v>
      </c>
      <c r="J16" s="1">
        <v>1.06E-6</v>
      </c>
      <c r="K16">
        <v>50.447271950000001</v>
      </c>
      <c r="L16" s="1">
        <v>1.573E-5</v>
      </c>
      <c r="M16" s="2" t="s">
        <v>120</v>
      </c>
      <c r="N16">
        <v>2</v>
      </c>
      <c r="O16">
        <v>1</v>
      </c>
      <c r="P16">
        <f t="shared" si="0"/>
        <v>6.6372783955568782E-2</v>
      </c>
      <c r="Q16">
        <f t="shared" si="1"/>
        <v>380.0298024546517</v>
      </c>
      <c r="R16" t="s">
        <v>37</v>
      </c>
      <c r="S16" t="s">
        <v>103</v>
      </c>
    </row>
    <row r="17" spans="1:35" x14ac:dyDescent="0.4">
      <c r="A17">
        <v>841.01</v>
      </c>
      <c r="B17">
        <v>841.02</v>
      </c>
      <c r="C17" t="s">
        <v>60</v>
      </c>
      <c r="D17" t="s">
        <v>61</v>
      </c>
      <c r="E17">
        <v>2454976.333292</v>
      </c>
      <c r="F17">
        <v>1.8990000000000001E-3</v>
      </c>
      <c r="G17">
        <v>2454986.4305819999</v>
      </c>
      <c r="H17">
        <v>3.372E-3</v>
      </c>
      <c r="I17">
        <v>15.33527467</v>
      </c>
      <c r="J17" s="1">
        <v>2.1500000000000002E-6</v>
      </c>
      <c r="K17">
        <v>31.330465369999999</v>
      </c>
      <c r="L17" s="1">
        <v>3.7699999999999999E-6</v>
      </c>
      <c r="M17" s="2" t="s">
        <v>120</v>
      </c>
      <c r="N17">
        <v>2</v>
      </c>
      <c r="O17">
        <v>1</v>
      </c>
      <c r="P17">
        <f t="shared" si="0"/>
        <v>2.1516276825839231E-2</v>
      </c>
      <c r="Q17">
        <f t="shared" si="1"/>
        <v>728.06428416032384</v>
      </c>
      <c r="R17" t="s">
        <v>37</v>
      </c>
      <c r="S17" t="s">
        <v>103</v>
      </c>
    </row>
    <row r="18" spans="1:35" x14ac:dyDescent="0.4">
      <c r="A18">
        <v>870.01</v>
      </c>
      <c r="B18">
        <v>870.02</v>
      </c>
      <c r="C18" t="s">
        <v>62</v>
      </c>
      <c r="D18" t="s">
        <v>63</v>
      </c>
      <c r="E18">
        <v>2454969.7117150002</v>
      </c>
      <c r="F18">
        <v>1.1999999999999999E-3</v>
      </c>
      <c r="G18">
        <v>2454972.7390999999</v>
      </c>
      <c r="H18">
        <v>2.1779999999999998E-3</v>
      </c>
      <c r="I18">
        <v>5.9122721900000004</v>
      </c>
      <c r="J18" s="1">
        <v>1.3400000000000001E-6</v>
      </c>
      <c r="K18">
        <v>8.9858469999999997</v>
      </c>
      <c r="L18" s="1">
        <v>2.4899999999999999E-6</v>
      </c>
      <c r="M18" s="2" t="s">
        <v>122</v>
      </c>
      <c r="N18">
        <v>3</v>
      </c>
      <c r="O18">
        <v>1</v>
      </c>
      <c r="P18">
        <f t="shared" si="0"/>
        <v>1.3242366750145562E-2</v>
      </c>
      <c r="Q18">
        <f t="shared" si="1"/>
        <v>226.18935042713591</v>
      </c>
      <c r="R18" t="s">
        <v>37</v>
      </c>
      <c r="S18" t="s">
        <v>103</v>
      </c>
      <c r="AH18" t="s">
        <v>137</v>
      </c>
      <c r="AI18" t="s">
        <v>138</v>
      </c>
    </row>
    <row r="19" spans="1:35" x14ac:dyDescent="0.4">
      <c r="A19">
        <v>877.01</v>
      </c>
      <c r="B19">
        <v>877.02</v>
      </c>
      <c r="C19" t="s">
        <v>64</v>
      </c>
      <c r="D19" t="s">
        <v>65</v>
      </c>
      <c r="E19">
        <v>2454968.2269879999</v>
      </c>
      <c r="F19">
        <v>8.4500000000000005E-4</v>
      </c>
      <c r="G19">
        <v>2454966.0651719999</v>
      </c>
      <c r="H19">
        <v>1.9109999999999999E-3</v>
      </c>
      <c r="I19">
        <v>5.9548970299999997</v>
      </c>
      <c r="J19" s="1">
        <v>9.1999999999999998E-7</v>
      </c>
      <c r="K19">
        <v>12.039916610000001</v>
      </c>
      <c r="L19" s="1">
        <v>2.17E-6</v>
      </c>
      <c r="M19" s="2" t="s">
        <v>120</v>
      </c>
      <c r="N19">
        <v>2</v>
      </c>
      <c r="O19">
        <v>1</v>
      </c>
      <c r="P19">
        <f t="shared" si="0"/>
        <v>1.0925675905432142E-2</v>
      </c>
      <c r="Q19">
        <f t="shared" si="1"/>
        <v>550.99184316888829</v>
      </c>
      <c r="R19" t="s">
        <v>37</v>
      </c>
      <c r="S19" t="s">
        <v>103</v>
      </c>
    </row>
    <row r="20" spans="1:35" x14ac:dyDescent="0.4">
      <c r="A20">
        <v>886.01</v>
      </c>
      <c r="B20">
        <v>886.02</v>
      </c>
      <c r="C20" t="s">
        <v>66</v>
      </c>
      <c r="D20" t="s">
        <v>67</v>
      </c>
      <c r="E20">
        <v>2454971.1594099998</v>
      </c>
      <c r="F20">
        <v>5.8760000000000001E-3</v>
      </c>
      <c r="G20">
        <v>2454976.4613120002</v>
      </c>
      <c r="H20">
        <v>1.3605000000000001E-2</v>
      </c>
      <c r="I20">
        <v>8.0108076500000003</v>
      </c>
      <c r="J20" s="1">
        <v>6.63E-6</v>
      </c>
      <c r="K20">
        <v>12.07130385</v>
      </c>
      <c r="L20" s="1">
        <v>1.5469999999999999E-5</v>
      </c>
      <c r="M20" s="2" t="s">
        <v>122</v>
      </c>
      <c r="N20">
        <v>3</v>
      </c>
      <c r="O20">
        <v>1</v>
      </c>
      <c r="P20">
        <f t="shared" si="0"/>
        <v>4.5848373353465366E-3</v>
      </c>
      <c r="Q20">
        <f t="shared" si="1"/>
        <v>877.625018226713</v>
      </c>
      <c r="R20" t="s">
        <v>37</v>
      </c>
      <c r="S20" t="s">
        <v>103</v>
      </c>
    </row>
    <row r="21" spans="1:35" x14ac:dyDescent="0.4">
      <c r="A21">
        <v>952.01</v>
      </c>
      <c r="B21">
        <v>952.02</v>
      </c>
      <c r="C21" t="s">
        <v>68</v>
      </c>
      <c r="D21" t="s">
        <v>69</v>
      </c>
      <c r="E21">
        <v>2454968.9978760001</v>
      </c>
      <c r="F21">
        <v>1.387E-3</v>
      </c>
      <c r="G21">
        <v>2454968.6284210002</v>
      </c>
      <c r="H21">
        <v>2.513E-3</v>
      </c>
      <c r="I21">
        <v>5.9012915000000001</v>
      </c>
      <c r="J21" s="1">
        <v>1.64E-6</v>
      </c>
      <c r="K21">
        <v>8.7520827099999998</v>
      </c>
      <c r="L21" s="1">
        <v>3.0400000000000001E-6</v>
      </c>
      <c r="M21" s="2" t="s">
        <v>122</v>
      </c>
      <c r="N21">
        <v>3</v>
      </c>
      <c r="O21">
        <v>1</v>
      </c>
      <c r="P21">
        <f t="shared" si="0"/>
        <v>-1.1280529581250698E-2</v>
      </c>
      <c r="Q21">
        <f t="shared" si="1"/>
        <v>258.61914392585408</v>
      </c>
      <c r="R21" t="s">
        <v>37</v>
      </c>
      <c r="S21" t="s">
        <v>103</v>
      </c>
    </row>
    <row r="22" spans="1:35" x14ac:dyDescent="0.4">
      <c r="A22">
        <v>1102.02</v>
      </c>
      <c r="B22">
        <v>1102.01</v>
      </c>
      <c r="C22" t="s">
        <v>70</v>
      </c>
      <c r="D22" t="s">
        <v>71</v>
      </c>
      <c r="E22">
        <v>2454965.421691</v>
      </c>
      <c r="F22">
        <v>5.4229999999999999E-3</v>
      </c>
      <c r="G22">
        <v>2454970.5905519999</v>
      </c>
      <c r="H22">
        <v>9.3279999999999995E-3</v>
      </c>
      <c r="I22">
        <v>8.14518217</v>
      </c>
      <c r="J22" s="1">
        <v>6.1099999999999999E-6</v>
      </c>
      <c r="K22">
        <v>12.33346255</v>
      </c>
      <c r="L22" s="1">
        <v>1.0169999999999999E-5</v>
      </c>
      <c r="M22" s="2" t="s">
        <v>122</v>
      </c>
      <c r="N22">
        <v>3</v>
      </c>
      <c r="O22">
        <v>1</v>
      </c>
      <c r="P22">
        <f t="shared" si="0"/>
        <v>9.4689345255818402E-3</v>
      </c>
      <c r="Q22">
        <f t="shared" si="1"/>
        <v>434.17283879472831</v>
      </c>
      <c r="R22" t="s">
        <v>37</v>
      </c>
      <c r="S22" t="s">
        <v>103</v>
      </c>
    </row>
    <row r="23" spans="1:35" x14ac:dyDescent="0.4">
      <c r="A23">
        <v>1215.01</v>
      </c>
      <c r="B23">
        <v>1215.02</v>
      </c>
      <c r="C23" t="s">
        <v>72</v>
      </c>
      <c r="D23" t="s">
        <v>73</v>
      </c>
      <c r="E23">
        <v>2454957.7829860002</v>
      </c>
      <c r="F23">
        <v>5.4320000000000002E-3</v>
      </c>
      <c r="G23">
        <v>2454978.3813609998</v>
      </c>
      <c r="H23">
        <v>8.8660000000000006E-3</v>
      </c>
      <c r="I23">
        <v>17.324054910000001</v>
      </c>
      <c r="J23" s="1">
        <v>6.0000000000000002E-6</v>
      </c>
      <c r="K23">
        <v>33.00669147</v>
      </c>
      <c r="L23" s="1">
        <v>9.2599999999999994E-6</v>
      </c>
      <c r="M23" s="2" t="s">
        <v>120</v>
      </c>
      <c r="N23">
        <v>2</v>
      </c>
      <c r="O23">
        <v>1</v>
      </c>
      <c r="P23">
        <f t="shared" si="0"/>
        <v>-4.7373965232946791E-2</v>
      </c>
      <c r="Q23">
        <f t="shared" si="1"/>
        <v>348.36319176260469</v>
      </c>
      <c r="R23" t="s">
        <v>37</v>
      </c>
      <c r="S23" t="s">
        <v>103</v>
      </c>
    </row>
    <row r="24" spans="1:35" x14ac:dyDescent="0.4">
      <c r="A24">
        <v>1236.01</v>
      </c>
      <c r="B24">
        <v>1236.03</v>
      </c>
      <c r="C24" t="s">
        <v>74</v>
      </c>
      <c r="D24" t="s">
        <v>75</v>
      </c>
      <c r="E24">
        <v>2454984.1313490001</v>
      </c>
      <c r="F24">
        <v>1.7714000000000001E-2</v>
      </c>
      <c r="G24">
        <v>2454981.7592620002</v>
      </c>
      <c r="H24">
        <v>5.6536000000000003E-2</v>
      </c>
      <c r="I24">
        <v>35.734327460000003</v>
      </c>
      <c r="J24" s="1">
        <v>1.876E-5</v>
      </c>
      <c r="K24">
        <v>54.416055040000003</v>
      </c>
      <c r="L24" s="1">
        <v>6.5279999999999998E-5</v>
      </c>
      <c r="M24" s="2" t="s">
        <v>122</v>
      </c>
      <c r="N24">
        <v>3</v>
      </c>
      <c r="O24">
        <v>1</v>
      </c>
      <c r="P24">
        <f t="shared" si="0"/>
        <v>1.5196663971765778E-2</v>
      </c>
      <c r="Q24">
        <f t="shared" si="1"/>
        <v>1193.5965055905274</v>
      </c>
      <c r="R24" t="s">
        <v>37</v>
      </c>
      <c r="S24" t="s">
        <v>103</v>
      </c>
    </row>
    <row r="25" spans="1:35" x14ac:dyDescent="0.4">
      <c r="A25">
        <v>1241.02</v>
      </c>
      <c r="B25">
        <v>1241.01</v>
      </c>
      <c r="C25" t="s">
        <v>76</v>
      </c>
      <c r="D25" t="s">
        <v>77</v>
      </c>
      <c r="E25">
        <v>2454958.1075269999</v>
      </c>
      <c r="F25">
        <v>2.5205999999999999E-2</v>
      </c>
      <c r="G25">
        <v>2454958.6901099999</v>
      </c>
      <c r="H25">
        <v>1.0848999999999999E-2</v>
      </c>
      <c r="I25">
        <v>10.501067129999999</v>
      </c>
      <c r="J25" s="1">
        <v>2.8439999999999999E-5</v>
      </c>
      <c r="K25">
        <v>21.405695980000001</v>
      </c>
      <c r="L25" s="1">
        <v>1.2150000000000001E-5</v>
      </c>
      <c r="M25" s="2" t="s">
        <v>120</v>
      </c>
      <c r="N25">
        <v>2</v>
      </c>
      <c r="O25">
        <v>1</v>
      </c>
      <c r="P25">
        <f t="shared" si="0"/>
        <v>1.9215271886372731E-2</v>
      </c>
      <c r="Q25">
        <f t="shared" si="1"/>
        <v>556.99695811175957</v>
      </c>
      <c r="R25" t="s">
        <v>37</v>
      </c>
      <c r="S25" t="s">
        <v>103</v>
      </c>
    </row>
    <row r="26" spans="1:35" x14ac:dyDescent="0.4">
      <c r="A26">
        <v>1426.01</v>
      </c>
      <c r="B26">
        <v>1426.02</v>
      </c>
      <c r="C26" t="s">
        <v>78</v>
      </c>
      <c r="D26" t="s">
        <v>79</v>
      </c>
      <c r="E26">
        <v>2454965.4378189999</v>
      </c>
      <c r="F26">
        <v>8.1139999999999997E-3</v>
      </c>
      <c r="G26">
        <v>2455032.9268970001</v>
      </c>
      <c r="H26">
        <v>1.5976000000000001E-2</v>
      </c>
      <c r="I26">
        <v>38.86872408</v>
      </c>
      <c r="J26" s="1">
        <v>9.1300000000000007E-6</v>
      </c>
      <c r="K26">
        <v>74.928476680000003</v>
      </c>
      <c r="L26" s="1">
        <v>1.6860000000000001E-5</v>
      </c>
      <c r="M26" s="2" t="s">
        <v>120</v>
      </c>
      <c r="N26">
        <v>2</v>
      </c>
      <c r="O26">
        <v>1</v>
      </c>
      <c r="P26">
        <f t="shared" si="0"/>
        <v>-3.613408397737139E-2</v>
      </c>
      <c r="Q26">
        <f t="shared" si="1"/>
        <v>1036.8116253745793</v>
      </c>
      <c r="R26" t="s">
        <v>37</v>
      </c>
      <c r="S26" t="s">
        <v>103</v>
      </c>
    </row>
    <row r="27" spans="1:35" x14ac:dyDescent="0.4">
      <c r="A27">
        <v>1529.02</v>
      </c>
      <c r="B27">
        <v>1529.01</v>
      </c>
      <c r="C27" t="s">
        <v>80</v>
      </c>
      <c r="D27" t="s">
        <v>81</v>
      </c>
      <c r="G27">
        <v>2454980.737768</v>
      </c>
      <c r="H27">
        <v>1.3847E-2</v>
      </c>
      <c r="K27">
        <v>17.977590209999999</v>
      </c>
      <c r="L27" s="1">
        <v>1.518E-5</v>
      </c>
      <c r="M27" s="2" t="s">
        <v>122</v>
      </c>
      <c r="N27">
        <v>3</v>
      </c>
      <c r="O27">
        <v>1</v>
      </c>
      <c r="P27" t="e">
        <f t="shared" si="0"/>
        <v>#DIV/0!</v>
      </c>
      <c r="Q27" t="e">
        <f t="shared" si="1"/>
        <v>#DIV/0!</v>
      </c>
      <c r="R27" t="s">
        <v>37</v>
      </c>
      <c r="S27" t="s">
        <v>103</v>
      </c>
    </row>
    <row r="28" spans="1:35" x14ac:dyDescent="0.4">
      <c r="A28">
        <v>2672.02</v>
      </c>
      <c r="B28">
        <v>2672.01</v>
      </c>
      <c r="C28" t="s">
        <v>82</v>
      </c>
      <c r="D28" t="s">
        <v>83</v>
      </c>
      <c r="E28">
        <v>2454995.495267</v>
      </c>
      <c r="F28">
        <v>5.94E-3</v>
      </c>
      <c r="G28">
        <v>2455546.7464000001</v>
      </c>
      <c r="H28">
        <v>6.1000000000000004E-3</v>
      </c>
      <c r="I28">
        <v>42.992921870000004</v>
      </c>
      <c r="J28" s="1">
        <v>6.3500000000000002E-6</v>
      </c>
      <c r="K28">
        <v>88.512799999999999</v>
      </c>
      <c r="L28">
        <v>1.1999999999999999E-3</v>
      </c>
      <c r="M28" s="2" t="s">
        <v>120</v>
      </c>
      <c r="N28">
        <v>2</v>
      </c>
      <c r="O28">
        <v>1</v>
      </c>
      <c r="P28">
        <f t="shared" si="0"/>
        <v>2.9388049824118578E-2</v>
      </c>
      <c r="Q28">
        <f t="shared" si="1"/>
        <v>1505.9318418495091</v>
      </c>
      <c r="R28" t="s">
        <v>37</v>
      </c>
      <c r="S28" t="s">
        <v>103</v>
      </c>
    </row>
    <row r="29" spans="1:35" x14ac:dyDescent="0.4">
      <c r="A29">
        <v>279.01</v>
      </c>
      <c r="B29">
        <v>279.02</v>
      </c>
      <c r="C29" t="s">
        <v>108</v>
      </c>
      <c r="D29" t="s">
        <v>107</v>
      </c>
      <c r="E29">
        <v>2454954.526751</v>
      </c>
      <c r="F29">
        <v>3.3089999999999999E-3</v>
      </c>
      <c r="G29">
        <v>2454981.2512889998</v>
      </c>
      <c r="H29">
        <v>6.7299999999999999E-4</v>
      </c>
      <c r="I29">
        <v>15.413123909999999</v>
      </c>
      <c r="J29" s="1">
        <v>3.7100000000000001E-6</v>
      </c>
      <c r="K29">
        <v>28.454907349999999</v>
      </c>
      <c r="L29" s="1">
        <v>7.6000000000000003E-7</v>
      </c>
      <c r="M29" s="2" t="s">
        <v>120</v>
      </c>
      <c r="N29">
        <v>2</v>
      </c>
      <c r="O29">
        <v>1</v>
      </c>
      <c r="P29">
        <f t="shared" si="0"/>
        <v>-7.6926017199585361E-2</v>
      </c>
      <c r="Q29">
        <f t="shared" si="1"/>
        <v>184.94982832773914</v>
      </c>
      <c r="R29" t="s">
        <v>37</v>
      </c>
      <c r="S29" t="s">
        <v>103</v>
      </c>
    </row>
    <row r="30" spans="1:35" x14ac:dyDescent="0.4">
      <c r="C30" t="s">
        <v>86</v>
      </c>
      <c r="D30" t="s">
        <v>87</v>
      </c>
      <c r="E30">
        <v>2458582.5548</v>
      </c>
      <c r="F30">
        <v>1.1999999999999999E-3</v>
      </c>
      <c r="I30">
        <v>8.8038120000000006</v>
      </c>
      <c r="J30" s="1">
        <v>1.0000000000000001E-5</v>
      </c>
      <c r="M30" s="2" t="s">
        <v>125</v>
      </c>
      <c r="N30">
        <v>4</v>
      </c>
      <c r="O30">
        <v>3</v>
      </c>
      <c r="P30">
        <f t="shared" si="0"/>
        <v>-1</v>
      </c>
      <c r="Q30" t="e">
        <f t="shared" si="1"/>
        <v>#DIV/0!</v>
      </c>
      <c r="R30" t="s">
        <v>92</v>
      </c>
      <c r="S30" t="s">
        <v>104</v>
      </c>
      <c r="AH30" t="s">
        <v>131</v>
      </c>
      <c r="AI30" t="s">
        <v>132</v>
      </c>
    </row>
    <row r="31" spans="1:35" x14ac:dyDescent="0.4">
      <c r="C31" t="s">
        <v>90</v>
      </c>
      <c r="D31" t="s">
        <v>91</v>
      </c>
      <c r="E31">
        <v>2455679.8193999999</v>
      </c>
      <c r="F31">
        <v>5.0000000000000001E-4</v>
      </c>
      <c r="G31">
        <v>2455703.05975</v>
      </c>
      <c r="H31">
        <v>1.1E-4</v>
      </c>
      <c r="I31">
        <v>10.423674</v>
      </c>
      <c r="J31" s="1">
        <v>1.2999999999999999E-5</v>
      </c>
      <c r="K31">
        <v>22.342971899999998</v>
      </c>
      <c r="L31" s="1">
        <v>5.2000000000000002E-6</v>
      </c>
      <c r="M31" s="2" t="s">
        <v>120</v>
      </c>
      <c r="N31">
        <v>2</v>
      </c>
      <c r="O31">
        <v>1</v>
      </c>
      <c r="P31">
        <f t="shared" si="0"/>
        <v>7.1741686280672123E-2</v>
      </c>
      <c r="Q31">
        <f t="shared" si="1"/>
        <v>155.71819578221584</v>
      </c>
      <c r="R31" t="s">
        <v>92</v>
      </c>
      <c r="S31" t="s">
        <v>104</v>
      </c>
    </row>
    <row r="32" spans="1:35" x14ac:dyDescent="0.4">
      <c r="C32" t="s">
        <v>116</v>
      </c>
      <c r="D32" t="s">
        <v>117</v>
      </c>
      <c r="E32">
        <v>2459245.6538999998</v>
      </c>
      <c r="F32">
        <v>1.2999999999999999E-4</v>
      </c>
      <c r="G32">
        <v>3.69067509</v>
      </c>
      <c r="H32" s="1">
        <v>7.4000000000000001E-7</v>
      </c>
      <c r="I32">
        <v>2459174.86925</v>
      </c>
      <c r="J32">
        <v>2.1000000000000001E-4</v>
      </c>
      <c r="K32">
        <v>7.4507307000000003</v>
      </c>
      <c r="L32" s="1">
        <v>2.6000000000000001E-6</v>
      </c>
      <c r="M32" s="2" t="s">
        <v>120</v>
      </c>
      <c r="N32">
        <v>2</v>
      </c>
      <c r="O32">
        <v>1</v>
      </c>
      <c r="P32">
        <f t="shared" si="0"/>
        <v>-0.99999848511572054</v>
      </c>
      <c r="Q32">
        <f t="shared" si="1"/>
        <v>3.7253709935059534</v>
      </c>
      <c r="R32" t="s">
        <v>92</v>
      </c>
      <c r="S32" t="s">
        <v>104</v>
      </c>
    </row>
    <row r="33" spans="3:19" x14ac:dyDescent="0.4">
      <c r="C33" t="s">
        <v>93</v>
      </c>
      <c r="D33" t="s">
        <v>94</v>
      </c>
      <c r="E33">
        <v>2458978.6849000002</v>
      </c>
      <c r="F33">
        <v>2.7000000000000001E-3</v>
      </c>
      <c r="G33">
        <v>2458847.1211999999</v>
      </c>
      <c r="H33">
        <v>3.8E-3</v>
      </c>
      <c r="I33">
        <v>4.6517169999999997</v>
      </c>
      <c r="J33" s="1">
        <v>1.8E-5</v>
      </c>
      <c r="K33">
        <v>9.1549659999999999</v>
      </c>
      <c r="L33" s="1">
        <v>4.5000000000000003E-5</v>
      </c>
      <c r="M33" s="2" t="s">
        <v>120</v>
      </c>
      <c r="N33">
        <v>2</v>
      </c>
      <c r="O33">
        <v>1</v>
      </c>
      <c r="P33">
        <f t="shared" si="0"/>
        <v>-1.595840847583796E-2</v>
      </c>
      <c r="Q33">
        <f t="shared" si="1"/>
        <v>286.83831516974948</v>
      </c>
      <c r="R33" t="s">
        <v>92</v>
      </c>
      <c r="S33" t="s">
        <v>104</v>
      </c>
    </row>
    <row r="34" spans="3:19" x14ac:dyDescent="0.4">
      <c r="C34" t="s">
        <v>109</v>
      </c>
      <c r="D34" t="s">
        <v>95</v>
      </c>
      <c r="E34">
        <v>2459201.64</v>
      </c>
      <c r="F34">
        <v>0.16</v>
      </c>
      <c r="G34">
        <v>2458952.6370000001</v>
      </c>
      <c r="H34">
        <v>3.5000000000000003E-2</v>
      </c>
      <c r="I34">
        <v>17.201899999999998</v>
      </c>
      <c r="J34">
        <v>6.6E-3</v>
      </c>
      <c r="K34">
        <v>34.506</v>
      </c>
      <c r="L34">
        <v>2.3999999999999998E-3</v>
      </c>
      <c r="M34" s="2" t="s">
        <v>120</v>
      </c>
      <c r="N34">
        <v>2</v>
      </c>
      <c r="O34">
        <v>1</v>
      </c>
      <c r="P34">
        <f t="shared" si="0"/>
        <v>2.9706020846536063E-3</v>
      </c>
      <c r="Q34">
        <f t="shared" si="1"/>
        <v>5807.9135166337592</v>
      </c>
      <c r="R34" t="s">
        <v>92</v>
      </c>
      <c r="S34" t="s">
        <v>104</v>
      </c>
    </row>
    <row r="35" spans="3:19" x14ac:dyDescent="0.4">
      <c r="C35" t="s">
        <v>96</v>
      </c>
      <c r="D35" t="s">
        <v>97</v>
      </c>
      <c r="E35">
        <v>2458874.3139999998</v>
      </c>
      <c r="F35">
        <v>1.1000000000000001E-3</v>
      </c>
      <c r="G35">
        <v>2458802.7162299999</v>
      </c>
      <c r="H35">
        <v>3.8000000000000002E-4</v>
      </c>
      <c r="I35">
        <v>3.360166</v>
      </c>
      <c r="J35" s="1">
        <v>1.1E-5</v>
      </c>
      <c r="K35">
        <v>5.6605629999999998</v>
      </c>
      <c r="L35" s="1">
        <v>1.0000000000000001E-5</v>
      </c>
      <c r="M35" s="2" t="s">
        <v>126</v>
      </c>
      <c r="N35">
        <v>5</v>
      </c>
      <c r="O35">
        <v>2</v>
      </c>
      <c r="P35">
        <f t="shared" si="0"/>
        <v>1.0764884830094745E-2</v>
      </c>
      <c r="Q35">
        <f t="shared" si="1"/>
        <v>105.16718180161338</v>
      </c>
      <c r="R35" t="s">
        <v>92</v>
      </c>
      <c r="S35" t="s">
        <v>104</v>
      </c>
    </row>
    <row r="36" spans="3:19" x14ac:dyDescent="0.4">
      <c r="C36" t="s">
        <v>97</v>
      </c>
      <c r="D36" t="s">
        <v>98</v>
      </c>
      <c r="E36">
        <v>2458802.7162299999</v>
      </c>
      <c r="F36">
        <v>3.8000000000000002E-4</v>
      </c>
      <c r="G36">
        <v>2458822.1081099999</v>
      </c>
      <c r="H36">
        <v>4.6999999999999999E-4</v>
      </c>
      <c r="I36">
        <v>5.6605629999999998</v>
      </c>
      <c r="J36" s="1">
        <v>1.0000000000000001E-5</v>
      </c>
      <c r="K36">
        <v>11.379549000000001</v>
      </c>
      <c r="L36" s="1">
        <v>2.5999999999999998E-5</v>
      </c>
      <c r="M36" s="2" t="s">
        <v>120</v>
      </c>
      <c r="N36">
        <v>2</v>
      </c>
      <c r="O36">
        <v>1</v>
      </c>
      <c r="P36">
        <f t="shared" si="0"/>
        <v>5.1605290851812757E-3</v>
      </c>
      <c r="Q36">
        <f t="shared" si="1"/>
        <v>1102.5564251422525</v>
      </c>
      <c r="R36" t="s">
        <v>92</v>
      </c>
      <c r="S36" t="s">
        <v>104</v>
      </c>
    </row>
    <row r="37" spans="3:19" x14ac:dyDescent="0.4">
      <c r="C37" t="s">
        <v>99</v>
      </c>
      <c r="D37" t="s">
        <v>100</v>
      </c>
      <c r="E37">
        <v>2459551.85</v>
      </c>
      <c r="F37">
        <v>1.6E-2</v>
      </c>
      <c r="G37">
        <v>2459534.6151000001</v>
      </c>
      <c r="H37">
        <v>1.2999999999999999E-3</v>
      </c>
      <c r="I37">
        <v>4.0783519999999998</v>
      </c>
      <c r="J37" s="1">
        <v>9.6000000000000002E-5</v>
      </c>
      <c r="K37">
        <v>8.349596</v>
      </c>
      <c r="L37" s="1">
        <v>1.5E-5</v>
      </c>
      <c r="M37" s="2" t="s">
        <v>120</v>
      </c>
      <c r="N37">
        <v>2</v>
      </c>
      <c r="O37">
        <v>1</v>
      </c>
      <c r="P37">
        <f t="shared" si="0"/>
        <v>2.3648277539555229E-2</v>
      </c>
      <c r="Q37">
        <f t="shared" si="1"/>
        <v>176.53708575675469</v>
      </c>
      <c r="R37" t="s">
        <v>92</v>
      </c>
      <c r="S37" t="s">
        <v>104</v>
      </c>
    </row>
    <row r="38" spans="3:19" x14ac:dyDescent="0.4">
      <c r="C38" t="s">
        <v>101</v>
      </c>
      <c r="D38" t="s">
        <v>102</v>
      </c>
      <c r="E38">
        <v>2459233.2184000001</v>
      </c>
      <c r="F38">
        <v>3.3E-3</v>
      </c>
      <c r="G38">
        <v>2458986.5144000002</v>
      </c>
      <c r="H38">
        <v>2.2000000000000001E-3</v>
      </c>
      <c r="I38">
        <v>6.2587080000000004</v>
      </c>
      <c r="J38" s="1">
        <v>4.8000000000000001E-5</v>
      </c>
      <c r="K38">
        <v>12.518996</v>
      </c>
      <c r="L38" s="1">
        <v>9.2999999999999997E-5</v>
      </c>
      <c r="M38" s="2" t="s">
        <v>120</v>
      </c>
      <c r="N38">
        <v>2</v>
      </c>
      <c r="O38">
        <v>1</v>
      </c>
      <c r="P38">
        <f t="shared" si="0"/>
        <v>1.2622413443796887E-4</v>
      </c>
      <c r="Q38">
        <f t="shared" si="1"/>
        <v>49590.34203621286</v>
      </c>
      <c r="R38" t="s">
        <v>92</v>
      </c>
      <c r="S38" t="s">
        <v>104</v>
      </c>
    </row>
    <row r="39" spans="3:19" x14ac:dyDescent="0.4">
      <c r="C39" t="s">
        <v>118</v>
      </c>
      <c r="D39" t="s">
        <v>119</v>
      </c>
      <c r="J39" s="1"/>
      <c r="L39" s="1"/>
    </row>
    <row r="40" spans="3:19" x14ac:dyDescent="0.4">
      <c r="C40" t="s">
        <v>33</v>
      </c>
      <c r="D40" t="s">
        <v>34</v>
      </c>
    </row>
    <row r="41" spans="3:19" x14ac:dyDescent="0.4">
      <c r="C41" t="s">
        <v>84</v>
      </c>
      <c r="D41" t="s">
        <v>85</v>
      </c>
    </row>
    <row r="42" spans="3:19" x14ac:dyDescent="0.4">
      <c r="C42" t="s">
        <v>110</v>
      </c>
      <c r="D42" t="s">
        <v>111</v>
      </c>
    </row>
    <row r="43" spans="3:19" x14ac:dyDescent="0.4">
      <c r="C43" t="s">
        <v>88</v>
      </c>
      <c r="D43" t="s">
        <v>89</v>
      </c>
    </row>
    <row r="44" spans="3:19" x14ac:dyDescent="0.4">
      <c r="C44" t="s">
        <v>112</v>
      </c>
      <c r="D44" t="s">
        <v>113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WBS</dc:creator>
  <cp:lastModifiedBy>WBS</cp:lastModifiedBy>
  <dcterms:created xsi:type="dcterms:W3CDTF">2015-06-05T18:17:20Z</dcterms:created>
  <dcterms:modified xsi:type="dcterms:W3CDTF">2026-02-03T11:56:50Z</dcterms:modified>
</cp:coreProperties>
</file>