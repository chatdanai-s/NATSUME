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WBS\Desktop\EXOPLANET WORK\006 NATSUME\validation\Catalog_check\data\"/>
    </mc:Choice>
  </mc:AlternateContent>
  <xr:revisionPtr revIDLastSave="0" documentId="13_ncr:1_{5600029F-77A6-46F0-86B4-E2E99FEFD56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1" l="1"/>
  <c r="Q8" i="1"/>
  <c r="P9" i="1"/>
  <c r="Q9" i="1"/>
  <c r="P10" i="1"/>
  <c r="Q10" i="1"/>
  <c r="Q15" i="1"/>
  <c r="P15" i="1"/>
  <c r="Q14" i="1"/>
  <c r="P14" i="1"/>
  <c r="Q13" i="1"/>
  <c r="P13" i="1"/>
  <c r="Q3" i="1"/>
  <c r="Q4" i="1"/>
  <c r="Q5" i="1"/>
  <c r="Q6" i="1"/>
  <c r="Q7" i="1"/>
  <c r="Q11" i="1"/>
  <c r="Q12" i="1"/>
  <c r="Q2" i="1"/>
  <c r="P3" i="1"/>
  <c r="P4" i="1"/>
  <c r="P5" i="1"/>
  <c r="P6" i="1"/>
  <c r="P7" i="1"/>
  <c r="P11" i="1"/>
  <c r="P12" i="1"/>
  <c r="P2" i="1"/>
</calcChain>
</file>

<file path=xl/sharedStrings.xml><?xml version="1.0" encoding="utf-8"?>
<sst xmlns="http://schemas.openxmlformats.org/spreadsheetml/2006/main" count="164" uniqueCount="103">
  <si>
    <t>KOI_inner</t>
  </si>
  <si>
    <t>KOI_outer</t>
  </si>
  <si>
    <t>ephemeride_reference</t>
  </si>
  <si>
    <t>T0_inner</t>
  </si>
  <si>
    <t>T0_inner_err</t>
  </si>
  <si>
    <t>P_inner</t>
  </si>
  <si>
    <t>P_inner_err</t>
  </si>
  <si>
    <t>T0_outer</t>
  </si>
  <si>
    <t>T0_outer_err</t>
  </si>
  <si>
    <t>P_outer</t>
  </si>
  <si>
    <t>P_outer_err</t>
  </si>
  <si>
    <t>pl_mass_inner</t>
  </si>
  <si>
    <t>pl_mass_inner_err</t>
  </si>
  <si>
    <t>pl_mass_outer</t>
  </si>
  <si>
    <t>pl_mass_outer_err</t>
  </si>
  <si>
    <t>e_inner</t>
  </si>
  <si>
    <t>e_inner_err</t>
  </si>
  <si>
    <t>e_outer</t>
  </si>
  <si>
    <t>e_outer_err</t>
  </si>
  <si>
    <t>peri_inner</t>
  </si>
  <si>
    <t>peri_inner_err</t>
  </si>
  <si>
    <t>peri_outer</t>
  </si>
  <si>
    <t>peri_outer_err</t>
  </si>
  <si>
    <t>st_mass</t>
  </si>
  <si>
    <t>st_mass_error</t>
  </si>
  <si>
    <t>name_inner</t>
  </si>
  <si>
    <t>name_outer</t>
  </si>
  <si>
    <t>j</t>
  </si>
  <si>
    <t>N</t>
  </si>
  <si>
    <t>expected_Pttv</t>
  </si>
  <si>
    <t>Delta</t>
  </si>
  <si>
    <t>MMR</t>
  </si>
  <si>
    <t>ephemeride_reference_doi</t>
  </si>
  <si>
    <t>TOI-2015b</t>
  </si>
  <si>
    <t>TOI-2015c</t>
  </si>
  <si>
    <t>Kepler-18c</t>
  </si>
  <si>
    <t>Kepler-18d</t>
  </si>
  <si>
    <t>Holczer+16</t>
  </si>
  <si>
    <t>Kepler-49b</t>
  </si>
  <si>
    <t>Kepler-49c</t>
  </si>
  <si>
    <t>Kepler-52b</t>
  </si>
  <si>
    <t>Kepler-52c</t>
  </si>
  <si>
    <t>Kepler-238e</t>
  </si>
  <si>
    <t>Kepler-238f</t>
  </si>
  <si>
    <t>Kepler-54b</t>
  </si>
  <si>
    <t>Kepler-54c</t>
  </si>
  <si>
    <t>WASP-148b</t>
  </si>
  <si>
    <t>WASP-148c</t>
  </si>
  <si>
    <t>KOI-94c</t>
  </si>
  <si>
    <t>KOI-94d</t>
  </si>
  <si>
    <t>Kokkori+25</t>
  </si>
  <si>
    <t>10.3847/0067-0049/225/1/9</t>
  </si>
  <si>
    <t>10.48550/arXiv.2511.14407</t>
  </si>
  <si>
    <t>Kepler-36b</t>
  </si>
  <si>
    <t>Kepler-36c</t>
  </si>
  <si>
    <t>parameter_reference</t>
  </si>
  <si>
    <t>parameter_reference_doi</t>
  </si>
  <si>
    <t>2:1</t>
  </si>
  <si>
    <t>5:4</t>
  </si>
  <si>
    <t>3:2</t>
  </si>
  <si>
    <t>7:6</t>
  </si>
  <si>
    <t>4:1</t>
  </si>
  <si>
    <t>5:3</t>
  </si>
  <si>
    <t>Cochran+11</t>
  </si>
  <si>
    <t>10.1088/0067-0049/197/1/7</t>
  </si>
  <si>
    <t>Almenara+22</t>
  </si>
  <si>
    <t>10.1051/0004-6361/202142964</t>
  </si>
  <si>
    <t>Vissapragada+20</t>
  </si>
  <si>
    <t>10.3847/1538-3881/ab65c8</t>
  </si>
  <si>
    <t>Masuda+13</t>
  </si>
  <si>
    <t>10.1088/0004-637X/778/2/185</t>
  </si>
  <si>
    <t>Berkaoui+25</t>
  </si>
  <si>
    <t>10.1051/0004-6361/202452916</t>
  </si>
  <si>
    <t>5:2</t>
  </si>
  <si>
    <t>Ofir+25</t>
  </si>
  <si>
    <t>10.3847/1538-3881/ad91a7</t>
  </si>
  <si>
    <t>Kepler-26b</t>
  </si>
  <si>
    <t>Kepler-26c</t>
  </si>
  <si>
    <t>Kepler-138d</t>
  </si>
  <si>
    <t>Kepler-307b</t>
  </si>
  <si>
    <t>Kepler-307c</t>
  </si>
  <si>
    <t>Kepler-138c</t>
  </si>
  <si>
    <t>7:5</t>
  </si>
  <si>
    <t>Jontof-Hutter+16</t>
  </si>
  <si>
    <t>10.3847/0004-637X/820/1/39</t>
  </si>
  <si>
    <t>Almenara+18</t>
  </si>
  <si>
    <t>10.1093/mnras/sty1050</t>
  </si>
  <si>
    <t>Notes</t>
  </si>
  <si>
    <t>peri_convention</t>
  </si>
  <si>
    <t>PyDynamicaLC</t>
  </si>
  <si>
    <t>peri_offset</t>
  </si>
  <si>
    <t>PyTTV, REBOUND</t>
  </si>
  <si>
    <t>Unknown</t>
  </si>
  <si>
    <t xml:space="preserve">Levenberg-Marquardt </t>
  </si>
  <si>
    <t>REBOUND+WHFAST</t>
  </si>
  <si>
    <t>Kokubo+04</t>
  </si>
  <si>
    <t>TTV dynamical model solution</t>
  </si>
  <si>
    <t>--</t>
  </si>
  <si>
    <t>Test 4 (Holczer catalog) solution</t>
  </si>
  <si>
    <t>Kepler LC only solution</t>
  </si>
  <si>
    <t>Configuration A solution</t>
  </si>
  <si>
    <t>TTV only solution</t>
  </si>
  <si>
    <t>Coplanar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</si>
</sst>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"/>
  <sheetViews>
    <sheetView tabSelected="1" topLeftCell="W1" zoomScale="102" zoomScaleNormal="85" workbookViewId="0">
      <selection activeCell="AD12" sqref="AD12"/>
    </sheetView>
  </sheetViews>
  <sheetFormatPr defaultRowHeight="14.6" x14ac:dyDescent="0.4"/>
  <cols>
    <col min="3" max="12" width="10.3828125" customWidth="1"/>
    <col min="13" max="13" width="10.3828125" style="1" customWidth="1"/>
    <col min="14" max="39" width="10.3828125" customWidth="1"/>
  </cols>
  <sheetData>
    <row r="1" spans="1:38" x14ac:dyDescent="0.4">
      <c r="A1" t="s">
        <v>0</v>
      </c>
      <c r="B1" t="s">
        <v>1</v>
      </c>
      <c r="C1" t="s">
        <v>25</v>
      </c>
      <c r="D1" t="s">
        <v>26</v>
      </c>
      <c r="E1" t="s">
        <v>3</v>
      </c>
      <c r="F1" t="s">
        <v>4</v>
      </c>
      <c r="G1" t="s">
        <v>7</v>
      </c>
      <c r="H1" t="s">
        <v>8</v>
      </c>
      <c r="I1" t="s">
        <v>5</v>
      </c>
      <c r="J1" t="s">
        <v>6</v>
      </c>
      <c r="K1" t="s">
        <v>9</v>
      </c>
      <c r="L1" t="s">
        <v>10</v>
      </c>
      <c r="M1" s="1" t="s">
        <v>31</v>
      </c>
      <c r="N1" t="s">
        <v>27</v>
      </c>
      <c r="O1" t="s">
        <v>28</v>
      </c>
      <c r="P1" t="s">
        <v>30</v>
      </c>
      <c r="Q1" t="s">
        <v>29</v>
      </c>
      <c r="R1" t="s">
        <v>2</v>
      </c>
      <c r="S1" t="s">
        <v>32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88</v>
      </c>
      <c r="AG1" t="s">
        <v>90</v>
      </c>
      <c r="AH1" t="s">
        <v>23</v>
      </c>
      <c r="AI1" t="s">
        <v>24</v>
      </c>
      <c r="AJ1" t="s">
        <v>55</v>
      </c>
      <c r="AK1" t="s">
        <v>56</v>
      </c>
      <c r="AL1" t="s">
        <v>87</v>
      </c>
    </row>
    <row r="2" spans="1:38" x14ac:dyDescent="0.4">
      <c r="A2">
        <v>137.01</v>
      </c>
      <c r="B2">
        <v>137.02000000000001</v>
      </c>
      <c r="C2" t="s">
        <v>35</v>
      </c>
      <c r="D2" t="s">
        <v>36</v>
      </c>
      <c r="E2">
        <v>2454960.7678379999</v>
      </c>
      <c r="F2">
        <v>5.0199999999999995E-4</v>
      </c>
      <c r="G2">
        <v>2455704.0999799999</v>
      </c>
      <c r="H2">
        <v>2.5999999999999998E-4</v>
      </c>
      <c r="I2">
        <v>7.6415621900000001</v>
      </c>
      <c r="J2" s="2">
        <v>5.7000000000000005E-7</v>
      </c>
      <c r="K2">
        <v>14.858918729999999</v>
      </c>
      <c r="L2" s="2">
        <v>7.4000000000000003E-6</v>
      </c>
      <c r="M2" s="1" t="s">
        <v>57</v>
      </c>
      <c r="N2">
        <v>2</v>
      </c>
      <c r="O2">
        <v>1</v>
      </c>
      <c r="P2">
        <f t="shared" ref="P2:P15" si="0">K2/I2*(N2-O2)/N2 - 1</f>
        <v>-2.7756474360382088E-2</v>
      </c>
      <c r="Q2">
        <f t="shared" ref="Q2:Q15" si="1">1/ABS(N2/K2-(N2-O2)/I2)</f>
        <v>267.66581621779528</v>
      </c>
      <c r="R2" t="s">
        <v>37</v>
      </c>
      <c r="S2" t="s">
        <v>51</v>
      </c>
      <c r="T2">
        <v>5.4431887273256201E-2</v>
      </c>
      <c r="U2">
        <v>5.3487981713604398E-3</v>
      </c>
      <c r="V2">
        <v>4.9712359474996998E-2</v>
      </c>
      <c r="W2">
        <v>4.0902574251579799E-3</v>
      </c>
      <c r="X2">
        <v>3.3854098717880498E-4</v>
      </c>
      <c r="Y2">
        <v>1.37069864115155E-4</v>
      </c>
      <c r="Z2">
        <v>5.2156687011350696E-4</v>
      </c>
      <c r="AA2">
        <v>4.4520559724775099E-4</v>
      </c>
      <c r="AB2">
        <v>30.731556062626598</v>
      </c>
      <c r="AC2">
        <v>34.577790202100303</v>
      </c>
      <c r="AD2">
        <v>98.378672506215494</v>
      </c>
      <c r="AE2">
        <v>7.4933850537993196</v>
      </c>
      <c r="AF2" t="s">
        <v>93</v>
      </c>
      <c r="AG2">
        <v>-90</v>
      </c>
      <c r="AH2">
        <v>0.97199999999999998</v>
      </c>
      <c r="AI2">
        <v>4.2000000000000003E-2</v>
      </c>
      <c r="AJ2" t="s">
        <v>63</v>
      </c>
      <c r="AK2" t="s">
        <v>64</v>
      </c>
      <c r="AL2" t="s">
        <v>96</v>
      </c>
    </row>
    <row r="3" spans="1:38" x14ac:dyDescent="0.4">
      <c r="A3">
        <v>248.01</v>
      </c>
      <c r="B3">
        <v>248.02</v>
      </c>
      <c r="C3" t="s">
        <v>38</v>
      </c>
      <c r="D3" t="s">
        <v>39</v>
      </c>
      <c r="E3">
        <v>2454967.2680850001</v>
      </c>
      <c r="F3">
        <v>1.562E-3</v>
      </c>
      <c r="G3">
        <v>2454970.1166119999</v>
      </c>
      <c r="H3">
        <v>3.0990000000000002E-3</v>
      </c>
      <c r="I3">
        <v>7.2038525800000004</v>
      </c>
      <c r="J3" s="2">
        <v>1.73E-6</v>
      </c>
      <c r="K3">
        <v>10.912717519999999</v>
      </c>
      <c r="L3" s="2">
        <v>3.3900000000000002E-6</v>
      </c>
      <c r="M3" s="1" t="s">
        <v>59</v>
      </c>
      <c r="N3">
        <v>3</v>
      </c>
      <c r="O3">
        <v>1</v>
      </c>
      <c r="P3">
        <f t="shared" si="0"/>
        <v>9.8964314638061435E-3</v>
      </c>
      <c r="Q3">
        <f t="shared" si="1"/>
        <v>367.56405780914451</v>
      </c>
      <c r="R3" t="s">
        <v>37</v>
      </c>
      <c r="S3" t="s">
        <v>51</v>
      </c>
      <c r="T3">
        <v>1.7242008222973601E-2</v>
      </c>
      <c r="U3">
        <v>2.5170814924049098E-3</v>
      </c>
      <c r="V3">
        <v>1.5574441734255399E-2</v>
      </c>
      <c r="W3">
        <v>2.5485450110599699E-3</v>
      </c>
      <c r="X3">
        <v>7.1175838597096905E-2</v>
      </c>
      <c r="Y3">
        <v>3.8518152159670097E-2</v>
      </c>
      <c r="Z3">
        <v>5.7982756057296803E-2</v>
      </c>
      <c r="AA3">
        <v>4.4097086281979898E-2</v>
      </c>
      <c r="AB3">
        <v>65.955776730632095</v>
      </c>
      <c r="AC3">
        <v>29.394253858567499</v>
      </c>
      <c r="AD3">
        <v>69.189514154024195</v>
      </c>
      <c r="AE3">
        <v>41.137720438357</v>
      </c>
      <c r="AF3" t="s">
        <v>89</v>
      </c>
      <c r="AG3">
        <v>0</v>
      </c>
      <c r="AH3">
        <v>0.54100000000000004</v>
      </c>
      <c r="AI3">
        <v>3.6999999999999998E-2</v>
      </c>
      <c r="AJ3" t="s">
        <v>74</v>
      </c>
      <c r="AK3" t="s">
        <v>75</v>
      </c>
      <c r="AL3" s="3" t="s">
        <v>97</v>
      </c>
    </row>
    <row r="4" spans="1:38" x14ac:dyDescent="0.4">
      <c r="A4">
        <v>277.02</v>
      </c>
      <c r="B4">
        <v>277.01</v>
      </c>
      <c r="C4" t="s">
        <v>53</v>
      </c>
      <c r="D4" t="s">
        <v>54</v>
      </c>
      <c r="E4">
        <v>2454960.8628159999</v>
      </c>
      <c r="F4">
        <v>2.7837000000000001E-2</v>
      </c>
      <c r="G4">
        <v>2454955.9776699999</v>
      </c>
      <c r="H4">
        <v>1.3792E-2</v>
      </c>
      <c r="I4">
        <v>13.84911836</v>
      </c>
      <c r="J4" s="2">
        <v>3.0559999999999999E-5</v>
      </c>
      <c r="K4">
        <v>16.23189245</v>
      </c>
      <c r="L4" s="2">
        <v>1.5970000000000001E-5</v>
      </c>
      <c r="M4" s="1" t="s">
        <v>60</v>
      </c>
      <c r="N4">
        <v>7</v>
      </c>
      <c r="O4">
        <v>1</v>
      </c>
      <c r="P4">
        <f t="shared" si="0"/>
        <v>4.6163452262220073E-3</v>
      </c>
      <c r="Q4">
        <f t="shared" si="1"/>
        <v>502.31117148686332</v>
      </c>
      <c r="R4" t="s">
        <v>37</v>
      </c>
      <c r="S4" t="s">
        <v>51</v>
      </c>
      <c r="T4">
        <v>1.2980778037443999E-2</v>
      </c>
      <c r="U4">
        <v>6.3405282793679797E-4</v>
      </c>
      <c r="V4">
        <v>2.4256812292526998E-2</v>
      </c>
      <c r="W4">
        <v>1.0626614644634999E-3</v>
      </c>
      <c r="X4">
        <v>5.6356011214421402E-2</v>
      </c>
      <c r="Y4">
        <v>2.71665494787127E-2</v>
      </c>
      <c r="Z4">
        <v>6.5802735505448406E-2</v>
      </c>
      <c r="AA4">
        <v>2.6091161909584298E-2</v>
      </c>
      <c r="AB4">
        <v>-27.474431626277099</v>
      </c>
      <c r="AC4">
        <v>32.833719383440297</v>
      </c>
      <c r="AD4">
        <v>-36.3474582088852</v>
      </c>
      <c r="AE4">
        <v>24.769679038597801</v>
      </c>
      <c r="AF4" t="s">
        <v>92</v>
      </c>
      <c r="AG4">
        <v>-90</v>
      </c>
      <c r="AH4">
        <v>1.034</v>
      </c>
      <c r="AI4">
        <v>2.1999999999999999E-2</v>
      </c>
      <c r="AJ4" t="s">
        <v>67</v>
      </c>
      <c r="AK4" t="s">
        <v>68</v>
      </c>
      <c r="AL4" t="s">
        <v>99</v>
      </c>
    </row>
    <row r="5" spans="1:38" x14ac:dyDescent="0.4">
      <c r="A5">
        <v>775.02</v>
      </c>
      <c r="B5">
        <v>775.01</v>
      </c>
      <c r="C5" t="s">
        <v>40</v>
      </c>
      <c r="D5" t="s">
        <v>41</v>
      </c>
      <c r="E5">
        <v>2454969.9886639998</v>
      </c>
      <c r="F5">
        <v>2.1389999999999998E-3</v>
      </c>
      <c r="G5">
        <v>2454972.9592220001</v>
      </c>
      <c r="H5">
        <v>3.392E-3</v>
      </c>
      <c r="I5">
        <v>7.8774264499999997</v>
      </c>
      <c r="J5" s="2">
        <v>2.48E-6</v>
      </c>
      <c r="K5">
        <v>16.38482024</v>
      </c>
      <c r="L5" s="2">
        <v>3.8999999999999999E-6</v>
      </c>
      <c r="M5" s="1" t="s">
        <v>57</v>
      </c>
      <c r="N5">
        <v>2</v>
      </c>
      <c r="O5">
        <v>1</v>
      </c>
      <c r="P5">
        <f t="shared" si="0"/>
        <v>3.9985605958910542E-2</v>
      </c>
      <c r="Q5">
        <f t="shared" si="1"/>
        <v>204.88398071092254</v>
      </c>
      <c r="R5" t="s">
        <v>37</v>
      </c>
      <c r="S5" t="s">
        <v>51</v>
      </c>
      <c r="T5">
        <v>1.97276261967235E-2</v>
      </c>
      <c r="U5">
        <v>4.0587939065029202E-3</v>
      </c>
      <c r="V5">
        <v>9.4075920778633595E-2</v>
      </c>
      <c r="W5">
        <v>1.9507381566137998E-2</v>
      </c>
      <c r="X5">
        <v>6.9290764175321304E-2</v>
      </c>
      <c r="Y5">
        <v>7.0345158912926099E-3</v>
      </c>
      <c r="Z5">
        <v>4.7676514134319802E-2</v>
      </c>
      <c r="AA5">
        <v>1.2537384986704E-2</v>
      </c>
      <c r="AB5">
        <v>-107.72892064142199</v>
      </c>
      <c r="AC5">
        <v>3.31329697787766</v>
      </c>
      <c r="AD5">
        <v>-115.866356794094</v>
      </c>
      <c r="AE5">
        <v>12.118971254184901</v>
      </c>
      <c r="AF5" t="s">
        <v>89</v>
      </c>
      <c r="AG5">
        <v>0</v>
      </c>
      <c r="AH5">
        <v>0.63300000000000001</v>
      </c>
      <c r="AI5">
        <v>2.9000000000000001E-2</v>
      </c>
      <c r="AJ5" t="s">
        <v>74</v>
      </c>
      <c r="AK5" t="s">
        <v>75</v>
      </c>
      <c r="AL5" s="3" t="s">
        <v>97</v>
      </c>
    </row>
    <row r="6" spans="1:38" x14ac:dyDescent="0.4">
      <c r="A6">
        <v>834.01</v>
      </c>
      <c r="B6">
        <v>834.05</v>
      </c>
      <c r="C6" t="s">
        <v>42</v>
      </c>
      <c r="D6" t="s">
        <v>43</v>
      </c>
      <c r="E6">
        <v>2454980.7210960002</v>
      </c>
      <c r="F6">
        <v>9.4799999999999995E-4</v>
      </c>
      <c r="G6">
        <v>2455011.4899300002</v>
      </c>
      <c r="H6">
        <v>1.5041000000000001E-2</v>
      </c>
      <c r="I6">
        <v>23.653675669999998</v>
      </c>
      <c r="J6" s="2">
        <v>1.06E-6</v>
      </c>
      <c r="K6">
        <v>50.447271950000001</v>
      </c>
      <c r="L6" s="2">
        <v>1.573E-5</v>
      </c>
      <c r="M6" s="1" t="s">
        <v>57</v>
      </c>
      <c r="N6">
        <v>2</v>
      </c>
      <c r="O6">
        <v>1</v>
      </c>
      <c r="P6">
        <f t="shared" si="0"/>
        <v>6.6372783955568782E-2</v>
      </c>
      <c r="Q6">
        <f t="shared" si="1"/>
        <v>380.0298024546517</v>
      </c>
      <c r="R6" t="s">
        <v>37</v>
      </c>
      <c r="S6" t="s">
        <v>51</v>
      </c>
      <c r="T6">
        <v>0.21709827871992299</v>
      </c>
      <c r="U6">
        <v>3.46098705205675E-2</v>
      </c>
      <c r="V6">
        <v>3.8385492759174897E-2</v>
      </c>
      <c r="W6">
        <v>5.9780685444616698E-3</v>
      </c>
      <c r="X6">
        <v>5.4155793780536497E-2</v>
      </c>
      <c r="Y6">
        <v>9.0209357382330699E-2</v>
      </c>
      <c r="Z6">
        <v>8.3520356800004095E-2</v>
      </c>
      <c r="AA6">
        <v>0.11350240424456801</v>
      </c>
      <c r="AB6">
        <v>122.252104554393</v>
      </c>
      <c r="AC6">
        <v>89.035727041518001</v>
      </c>
      <c r="AD6">
        <v>130.192046036969</v>
      </c>
      <c r="AE6">
        <v>74.780772168852096</v>
      </c>
      <c r="AF6" t="s">
        <v>89</v>
      </c>
      <c r="AG6">
        <v>0</v>
      </c>
      <c r="AH6">
        <v>1.2290000000000001</v>
      </c>
      <c r="AI6">
        <v>6.2E-2</v>
      </c>
      <c r="AJ6" t="s">
        <v>74</v>
      </c>
      <c r="AK6" t="s">
        <v>75</v>
      </c>
      <c r="AL6" s="3" t="s">
        <v>97</v>
      </c>
    </row>
    <row r="7" spans="1:38" x14ac:dyDescent="0.4">
      <c r="A7">
        <v>886.01</v>
      </c>
      <c r="B7">
        <v>886.02</v>
      </c>
      <c r="C7" t="s">
        <v>44</v>
      </c>
      <c r="D7" t="s">
        <v>45</v>
      </c>
      <c r="E7">
        <v>2454971.1594099998</v>
      </c>
      <c r="F7">
        <v>5.8760000000000001E-3</v>
      </c>
      <c r="G7">
        <v>2454976.4613120002</v>
      </c>
      <c r="H7">
        <v>1.3605000000000001E-2</v>
      </c>
      <c r="I7">
        <v>8.0108076500000003</v>
      </c>
      <c r="J7" s="2">
        <v>6.63E-6</v>
      </c>
      <c r="K7">
        <v>12.07130385</v>
      </c>
      <c r="L7" s="2">
        <v>1.5469999999999999E-5</v>
      </c>
      <c r="M7" s="1" t="s">
        <v>59</v>
      </c>
      <c r="N7">
        <v>3</v>
      </c>
      <c r="O7">
        <v>1</v>
      </c>
      <c r="P7">
        <f t="shared" si="0"/>
        <v>4.5848373353465366E-3</v>
      </c>
      <c r="Q7">
        <f t="shared" si="1"/>
        <v>877.625018226713</v>
      </c>
      <c r="R7" t="s">
        <v>37</v>
      </c>
      <c r="S7" t="s">
        <v>51</v>
      </c>
      <c r="T7">
        <v>3.08342482819602E-3</v>
      </c>
      <c r="U7">
        <v>1.0697596342720799E-3</v>
      </c>
      <c r="V7">
        <v>2.2024463058543001E-3</v>
      </c>
      <c r="W7">
        <v>7.8658796637653505E-4</v>
      </c>
      <c r="X7">
        <v>0.01</v>
      </c>
      <c r="Y7">
        <v>1.3199999999999899E-2</v>
      </c>
      <c r="Z7">
        <v>3.1241798923877601E-2</v>
      </c>
      <c r="AA7">
        <v>2.07441464022626E-2</v>
      </c>
      <c r="AB7">
        <v>0</v>
      </c>
      <c r="AC7">
        <v>91.6732472209317</v>
      </c>
      <c r="AD7">
        <v>-48.503531644784402</v>
      </c>
      <c r="AE7">
        <v>36.6940695139401</v>
      </c>
      <c r="AF7" t="s">
        <v>89</v>
      </c>
      <c r="AG7">
        <v>0</v>
      </c>
      <c r="AH7">
        <v>0.48399999999999999</v>
      </c>
      <c r="AI7">
        <v>3.7999999999999999E-2</v>
      </c>
      <c r="AJ7" t="s">
        <v>74</v>
      </c>
      <c r="AK7" t="s">
        <v>75</v>
      </c>
      <c r="AL7" s="3" t="s">
        <v>97</v>
      </c>
    </row>
    <row r="8" spans="1:38" x14ac:dyDescent="0.4">
      <c r="A8">
        <v>250.01</v>
      </c>
      <c r="B8">
        <v>250.02</v>
      </c>
      <c r="C8" t="s">
        <v>76</v>
      </c>
      <c r="D8" t="s">
        <v>77</v>
      </c>
      <c r="E8">
        <v>2454966.5479330001</v>
      </c>
      <c r="F8">
        <v>1.4809999999999999E-3</v>
      </c>
      <c r="G8">
        <v>2454965.6368249999</v>
      </c>
      <c r="H8">
        <v>1.887E-3</v>
      </c>
      <c r="I8">
        <v>12.283015300000001</v>
      </c>
      <c r="J8" s="2">
        <v>1.6700000000000001E-6</v>
      </c>
      <c r="K8">
        <v>17.251186010000001</v>
      </c>
      <c r="L8" s="2">
        <v>2.1100000000000001E-6</v>
      </c>
      <c r="M8" s="1" t="s">
        <v>82</v>
      </c>
      <c r="N8">
        <v>7</v>
      </c>
      <c r="O8">
        <v>2</v>
      </c>
      <c r="P8">
        <f t="shared" si="0"/>
        <v>3.1963178803962045E-3</v>
      </c>
      <c r="Q8">
        <f t="shared" si="1"/>
        <v>771.02942714199673</v>
      </c>
      <c r="R8" t="s">
        <v>37</v>
      </c>
      <c r="S8" t="s">
        <v>51</v>
      </c>
      <c r="T8">
        <v>1.3795620243572801E-2</v>
      </c>
      <c r="U8">
        <v>1.88346915372928E-3</v>
      </c>
      <c r="V8">
        <v>2.08817080609911E-2</v>
      </c>
      <c r="W8">
        <v>2.41451042158941E-3</v>
      </c>
      <c r="X8">
        <v>2.74590604354919E-2</v>
      </c>
      <c r="Y8">
        <v>5.3067521175512999E-2</v>
      </c>
      <c r="Z8">
        <v>1.6401219466856701E-2</v>
      </c>
      <c r="AA8">
        <v>4.4753932767314E-2</v>
      </c>
      <c r="AB8">
        <v>-169.50852298766799</v>
      </c>
      <c r="AC8">
        <v>114.62647442610999</v>
      </c>
      <c r="AD8">
        <v>142.43140797117201</v>
      </c>
      <c r="AE8">
        <v>158.134464654591</v>
      </c>
      <c r="AF8" t="s">
        <v>93</v>
      </c>
      <c r="AG8">
        <v>-90</v>
      </c>
      <c r="AH8">
        <v>0.54400000000000004</v>
      </c>
      <c r="AI8">
        <v>2.5000000000000001E-2</v>
      </c>
      <c r="AJ8" t="s">
        <v>83</v>
      </c>
      <c r="AK8" t="s">
        <v>84</v>
      </c>
      <c r="AL8" t="s">
        <v>98</v>
      </c>
    </row>
    <row r="9" spans="1:38" x14ac:dyDescent="0.4">
      <c r="A9">
        <v>314.01</v>
      </c>
      <c r="B9">
        <v>314.02</v>
      </c>
      <c r="C9" t="s">
        <v>81</v>
      </c>
      <c r="D9" t="s">
        <v>78</v>
      </c>
      <c r="E9">
        <v>2454955.7286669998</v>
      </c>
      <c r="F9">
        <v>7.8399999999999997E-4</v>
      </c>
      <c r="G9">
        <v>2454957.8285710001</v>
      </c>
      <c r="H9">
        <v>2.7320000000000001E-3</v>
      </c>
      <c r="I9">
        <v>13.7810915</v>
      </c>
      <c r="J9" s="2">
        <v>8.8999999999999995E-7</v>
      </c>
      <c r="K9">
        <v>23.088988749999999</v>
      </c>
      <c r="L9" s="2">
        <v>3.1599999999999998E-6</v>
      </c>
      <c r="M9" s="1" t="s">
        <v>62</v>
      </c>
      <c r="N9">
        <v>5</v>
      </c>
      <c r="O9">
        <v>2</v>
      </c>
      <c r="P9">
        <f t="shared" si="0"/>
        <v>5.2464458276035852E-3</v>
      </c>
      <c r="Q9">
        <f t="shared" si="1"/>
        <v>880.17639021524701</v>
      </c>
      <c r="R9" t="s">
        <v>37</v>
      </c>
      <c r="S9" t="s">
        <v>51</v>
      </c>
      <c r="T9">
        <v>1.6361029700631899E-2</v>
      </c>
      <c r="U9">
        <v>3.7756222386073702E-3</v>
      </c>
      <c r="V9">
        <v>3.6812316826421798E-3</v>
      </c>
      <c r="W9">
        <v>9.4390555965184297E-4</v>
      </c>
      <c r="X9">
        <v>1.0999999999999999E-2</v>
      </c>
      <c r="Y9">
        <v>6.8999999999999999E-3</v>
      </c>
      <c r="Z9">
        <v>2.7E-2</v>
      </c>
      <c r="AA9">
        <v>5.0000000000000001E-3</v>
      </c>
      <c r="AB9">
        <v>161</v>
      </c>
      <c r="AC9">
        <v>27</v>
      </c>
      <c r="AD9">
        <v>66.31</v>
      </c>
      <c r="AE9">
        <v>10</v>
      </c>
      <c r="AF9" t="s">
        <v>94</v>
      </c>
      <c r="AG9">
        <v>-90</v>
      </c>
      <c r="AH9">
        <v>0.55100000000000005</v>
      </c>
      <c r="AI9">
        <v>6.8000000000000005E-2</v>
      </c>
      <c r="AJ9" t="s">
        <v>85</v>
      </c>
      <c r="AK9" t="s">
        <v>86</v>
      </c>
      <c r="AL9" t="s">
        <v>100</v>
      </c>
    </row>
    <row r="10" spans="1:38" x14ac:dyDescent="0.4">
      <c r="A10">
        <v>1576.01</v>
      </c>
      <c r="B10">
        <v>1576.02</v>
      </c>
      <c r="C10" t="s">
        <v>79</v>
      </c>
      <c r="D10" t="s">
        <v>80</v>
      </c>
      <c r="E10">
        <v>2454965.629828</v>
      </c>
      <c r="F10">
        <v>1.292E-3</v>
      </c>
      <c r="G10">
        <v>2454965.6298540002</v>
      </c>
      <c r="H10">
        <v>2.2070000000000002E-3</v>
      </c>
      <c r="I10">
        <v>10.415739889999999</v>
      </c>
      <c r="J10" s="2">
        <v>1.4300000000000001E-6</v>
      </c>
      <c r="K10">
        <v>13.084280120000001</v>
      </c>
      <c r="L10" s="2">
        <v>2.5399999999999998E-6</v>
      </c>
      <c r="M10" s="1" t="s">
        <v>58</v>
      </c>
      <c r="N10">
        <v>5</v>
      </c>
      <c r="O10">
        <v>1</v>
      </c>
      <c r="P10">
        <f t="shared" si="0"/>
        <v>4.9621252590630327E-3</v>
      </c>
      <c r="Q10">
        <f t="shared" si="1"/>
        <v>527.36597473439053</v>
      </c>
      <c r="R10" t="s">
        <v>37</v>
      </c>
      <c r="S10" t="s">
        <v>51</v>
      </c>
      <c r="T10">
        <v>2.636856815221E-2</v>
      </c>
      <c r="U10">
        <v>3.7851242212411998E-3</v>
      </c>
      <c r="V10">
        <v>1.3726494893087599E-2</v>
      </c>
      <c r="W10">
        <v>2.4550983606544401E-3</v>
      </c>
      <c r="X10">
        <v>4.1484937025383001E-2</v>
      </c>
      <c r="Y10">
        <v>5.6824367271997502E-2</v>
      </c>
      <c r="Z10">
        <v>2.92745623366088E-2</v>
      </c>
      <c r="AA10">
        <v>5.1721360995213503E-2</v>
      </c>
      <c r="AB10">
        <v>-74.623748751173807</v>
      </c>
      <c r="AC10">
        <v>54.881005998385803</v>
      </c>
      <c r="AD10">
        <v>-82.146686698021696</v>
      </c>
      <c r="AE10">
        <v>67.371035239101502</v>
      </c>
      <c r="AF10" t="s">
        <v>92</v>
      </c>
      <c r="AH10">
        <v>0.90700000000000003</v>
      </c>
      <c r="AI10">
        <v>3.4000000000000002E-2</v>
      </c>
      <c r="AJ10" t="s">
        <v>83</v>
      </c>
      <c r="AK10" t="s">
        <v>84</v>
      </c>
      <c r="AL10" s="3" t="s">
        <v>97</v>
      </c>
    </row>
    <row r="11" spans="1:38" x14ac:dyDescent="0.4">
      <c r="C11" t="s">
        <v>46</v>
      </c>
      <c r="D11" t="s">
        <v>47</v>
      </c>
      <c r="E11">
        <v>2458582.5548</v>
      </c>
      <c r="F11">
        <v>1.1999999999999999E-3</v>
      </c>
      <c r="I11">
        <v>8.8038120000000006</v>
      </c>
      <c r="J11" s="2">
        <v>1.0000000000000001E-5</v>
      </c>
      <c r="K11">
        <v>34.546190000000003</v>
      </c>
      <c r="L11">
        <v>1.6000000000000001E-3</v>
      </c>
      <c r="M11" s="1" t="s">
        <v>61</v>
      </c>
      <c r="N11">
        <v>4</v>
      </c>
      <c r="O11">
        <v>3</v>
      </c>
      <c r="P11">
        <f t="shared" si="0"/>
        <v>-1.8999099480997539E-2</v>
      </c>
      <c r="Q11">
        <f t="shared" si="1"/>
        <v>454.57667657554327</v>
      </c>
      <c r="R11" t="s">
        <v>50</v>
      </c>
      <c r="S11" t="s">
        <v>52</v>
      </c>
      <c r="T11">
        <v>0.28899999999999998</v>
      </c>
      <c r="U11">
        <v>2.3E-2</v>
      </c>
      <c r="V11">
        <v>0.375</v>
      </c>
      <c r="W11">
        <v>0.04</v>
      </c>
      <c r="X11">
        <v>0.19400000000000001</v>
      </c>
      <c r="Y11">
        <v>3.5000000000000003E-2</v>
      </c>
      <c r="Z11">
        <v>0.16800000000000001</v>
      </c>
      <c r="AA11">
        <v>1.6E-2</v>
      </c>
      <c r="AB11">
        <v>-118.6</v>
      </c>
      <c r="AC11">
        <v>7.2</v>
      </c>
      <c r="AD11">
        <v>-153.69999999999999</v>
      </c>
      <c r="AE11">
        <v>6</v>
      </c>
      <c r="AF11" t="s">
        <v>94</v>
      </c>
      <c r="AG11">
        <v>-90</v>
      </c>
      <c r="AH11">
        <v>0.96799999999999997</v>
      </c>
      <c r="AI11">
        <v>0.05</v>
      </c>
      <c r="AJ11" t="s">
        <v>65</v>
      </c>
      <c r="AK11" t="s">
        <v>66</v>
      </c>
      <c r="AL11" t="s">
        <v>102</v>
      </c>
    </row>
    <row r="12" spans="1:38" x14ac:dyDescent="0.4">
      <c r="C12" t="s">
        <v>48</v>
      </c>
      <c r="D12" t="s">
        <v>49</v>
      </c>
      <c r="E12">
        <v>2455679.8193999999</v>
      </c>
      <c r="F12">
        <v>5.0000000000000001E-4</v>
      </c>
      <c r="G12">
        <v>2455703.05975</v>
      </c>
      <c r="H12">
        <v>1.1E-4</v>
      </c>
      <c r="I12">
        <v>10.423674</v>
      </c>
      <c r="J12" s="2">
        <v>1.2999999999999999E-5</v>
      </c>
      <c r="K12">
        <v>22.342971899999998</v>
      </c>
      <c r="L12" s="2">
        <v>5.2000000000000002E-6</v>
      </c>
      <c r="M12" s="1" t="s">
        <v>57</v>
      </c>
      <c r="N12">
        <v>2</v>
      </c>
      <c r="O12">
        <v>1</v>
      </c>
      <c r="P12">
        <f t="shared" si="0"/>
        <v>7.1741686280672123E-2</v>
      </c>
      <c r="Q12">
        <f t="shared" si="1"/>
        <v>155.71819578221584</v>
      </c>
      <c r="R12" t="s">
        <v>50</v>
      </c>
      <c r="S12" t="s">
        <v>52</v>
      </c>
      <c r="T12">
        <v>2.9575707535757698E-2</v>
      </c>
      <c r="U12">
        <v>7.5512444772147403E-3</v>
      </c>
      <c r="V12">
        <v>0.16392493219286999</v>
      </c>
      <c r="W12">
        <v>2.23390982450936E-2</v>
      </c>
      <c r="X12">
        <v>1.4991330828181999E-2</v>
      </c>
      <c r="Y12">
        <v>8.1052364865659005E-3</v>
      </c>
      <c r="Z12">
        <v>2.3409399821439199E-2</v>
      </c>
      <c r="AA12">
        <v>1.49870990750755E-2</v>
      </c>
      <c r="AB12">
        <v>17.4680232512777</v>
      </c>
      <c r="AC12">
        <v>34.421786707579102</v>
      </c>
      <c r="AD12">
        <v>160.0168934781</v>
      </c>
      <c r="AE12">
        <v>49.703247242655699</v>
      </c>
      <c r="AF12" t="s">
        <v>95</v>
      </c>
      <c r="AG12">
        <v>-90</v>
      </c>
      <c r="AH12">
        <v>1.25</v>
      </c>
      <c r="AI12">
        <v>0</v>
      </c>
      <c r="AJ12" t="s">
        <v>69</v>
      </c>
      <c r="AK12" t="s">
        <v>70</v>
      </c>
      <c r="AL12" t="s">
        <v>101</v>
      </c>
    </row>
    <row r="13" spans="1:38" x14ac:dyDescent="0.4">
      <c r="C13" t="s">
        <v>33</v>
      </c>
      <c r="D13" t="s">
        <v>34</v>
      </c>
      <c r="E13">
        <v>2459712.9225975</v>
      </c>
      <c r="F13">
        <v>2.5100000000000001E-3</v>
      </c>
      <c r="I13">
        <v>3.3482370000000001</v>
      </c>
      <c r="J13">
        <v>3.4999999999999997E-5</v>
      </c>
      <c r="K13">
        <v>5.5827960000000001</v>
      </c>
      <c r="L13">
        <v>4.1999999999999998E-5</v>
      </c>
      <c r="M13" s="1" t="s">
        <v>62</v>
      </c>
      <c r="N13">
        <v>5</v>
      </c>
      <c r="O13">
        <v>2</v>
      </c>
      <c r="P13">
        <f t="shared" si="0"/>
        <v>4.3025628114135017E-4</v>
      </c>
      <c r="Q13">
        <f t="shared" si="1"/>
        <v>2595.1026142789683</v>
      </c>
      <c r="R13" t="s">
        <v>71</v>
      </c>
      <c r="S13" t="s">
        <v>72</v>
      </c>
      <c r="T13">
        <v>2.8946437162656501E-2</v>
      </c>
      <c r="U13">
        <v>1.10122315292715E-3</v>
      </c>
      <c r="V13">
        <v>2.8033995121659699E-2</v>
      </c>
      <c r="W13">
        <v>1.2585407462024499E-3</v>
      </c>
      <c r="X13">
        <v>7.9014399999999999E-2</v>
      </c>
      <c r="Y13">
        <v>2.9692968810814402E-3</v>
      </c>
      <c r="Z13">
        <v>3.3073089999999998E-4</v>
      </c>
      <c r="AA13">
        <v>1.99564906734626E-4</v>
      </c>
      <c r="AB13">
        <v>-21.014096323205401</v>
      </c>
      <c r="AC13">
        <v>1.5976223096217099</v>
      </c>
      <c r="AD13">
        <v>28.580286791492899</v>
      </c>
      <c r="AE13">
        <v>12.655358163243701</v>
      </c>
      <c r="AF13" t="s">
        <v>91</v>
      </c>
      <c r="AH13">
        <v>0.33</v>
      </c>
      <c r="AI13">
        <v>0.02</v>
      </c>
      <c r="AJ13" t="s">
        <v>71</v>
      </c>
      <c r="AK13" t="s">
        <v>72</v>
      </c>
      <c r="AL13" s="3" t="s">
        <v>97</v>
      </c>
    </row>
    <row r="14" spans="1:38" x14ac:dyDescent="0.4">
      <c r="C14" t="s">
        <v>33</v>
      </c>
      <c r="D14" t="s">
        <v>34</v>
      </c>
      <c r="E14">
        <v>2459712.9225975</v>
      </c>
      <c r="F14">
        <v>2.5100000000000001E-3</v>
      </c>
      <c r="I14">
        <v>3.3464932300000001</v>
      </c>
      <c r="J14">
        <v>4.7379999999999997E-5</v>
      </c>
      <c r="K14">
        <v>6.6981780000000004</v>
      </c>
      <c r="L14">
        <v>1.95E-4</v>
      </c>
      <c r="M14" s="1" t="s">
        <v>57</v>
      </c>
      <c r="N14">
        <v>2</v>
      </c>
      <c r="O14">
        <v>1</v>
      </c>
      <c r="P14">
        <f t="shared" si="0"/>
        <v>7.7566868408096568E-4</v>
      </c>
      <c r="Q14">
        <f t="shared" si="1"/>
        <v>4317.6797887206985</v>
      </c>
      <c r="R14" t="s">
        <v>71</v>
      </c>
      <c r="S14" t="s">
        <v>72</v>
      </c>
      <c r="T14">
        <v>2.52714981837453E-2</v>
      </c>
      <c r="U14">
        <v>2.1080557498891102E-3</v>
      </c>
      <c r="V14">
        <v>5.69804322843162E-2</v>
      </c>
      <c r="W14">
        <v>3.3980600147466302E-3</v>
      </c>
      <c r="X14">
        <v>0.17772352</v>
      </c>
      <c r="Y14">
        <v>9.3038689242701603E-3</v>
      </c>
      <c r="Z14">
        <v>9.9242099999999993E-3</v>
      </c>
      <c r="AA14">
        <v>3.9999548645453398E-3</v>
      </c>
      <c r="AB14">
        <v>168.839330476957</v>
      </c>
      <c r="AC14">
        <v>1.2609970353745199</v>
      </c>
      <c r="AD14">
        <v>-83.602645872477197</v>
      </c>
      <c r="AE14">
        <v>1.88610828162814</v>
      </c>
      <c r="AF14" t="s">
        <v>91</v>
      </c>
      <c r="AH14">
        <v>0.33</v>
      </c>
      <c r="AI14">
        <v>0.02</v>
      </c>
      <c r="AJ14" t="s">
        <v>71</v>
      </c>
      <c r="AK14" t="s">
        <v>72</v>
      </c>
      <c r="AL14" s="3" t="s">
        <v>97</v>
      </c>
    </row>
    <row r="15" spans="1:38" x14ac:dyDescent="0.4">
      <c r="C15" t="s">
        <v>33</v>
      </c>
      <c r="D15" t="s">
        <v>34</v>
      </c>
      <c r="E15">
        <v>2459712.9225975</v>
      </c>
      <c r="F15">
        <v>2.5100000000000001E-3</v>
      </c>
      <c r="I15">
        <v>3.3480035899999998</v>
      </c>
      <c r="J15">
        <v>5.5630000000000001E-5</v>
      </c>
      <c r="K15">
        <v>8.3740679999999994</v>
      </c>
      <c r="L15">
        <v>5.7399999999999997E-4</v>
      </c>
      <c r="M15" s="1" t="s">
        <v>73</v>
      </c>
      <c r="N15">
        <v>5</v>
      </c>
      <c r="O15">
        <v>3</v>
      </c>
      <c r="P15">
        <f t="shared" si="0"/>
        <v>4.84948703415089E-4</v>
      </c>
      <c r="Q15">
        <f t="shared" si="1"/>
        <v>3453.5891903726701</v>
      </c>
      <c r="R15" t="s">
        <v>71</v>
      </c>
      <c r="S15" t="s">
        <v>72</v>
      </c>
      <c r="T15">
        <v>6.9597303264995802E-2</v>
      </c>
      <c r="U15">
        <v>2.7687896416453998E-3</v>
      </c>
      <c r="V15">
        <v>3.6529145158526302E-2</v>
      </c>
      <c r="W15">
        <v>2.3283003804745401E-3</v>
      </c>
      <c r="X15">
        <v>0.32352999999999998</v>
      </c>
      <c r="Y15">
        <v>1.3377115533626799E-2</v>
      </c>
      <c r="Z15">
        <v>0.21152349000000001</v>
      </c>
      <c r="AA15">
        <v>1.17305668558684E-2</v>
      </c>
      <c r="AB15">
        <v>-118.682812934032</v>
      </c>
      <c r="AC15">
        <v>1.34665205826546</v>
      </c>
      <c r="AD15">
        <v>-26.748905147746399</v>
      </c>
      <c r="AE15">
        <v>2.4989199236937498</v>
      </c>
      <c r="AF15" t="s">
        <v>91</v>
      </c>
      <c r="AH15">
        <v>0.33</v>
      </c>
      <c r="AI15">
        <v>0.02</v>
      </c>
      <c r="AJ15" t="s">
        <v>71</v>
      </c>
      <c r="AK15" t="s">
        <v>72</v>
      </c>
      <c r="AL15" s="3" t="s">
        <v>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WBS</dc:creator>
  <cp:lastModifiedBy>WBS</cp:lastModifiedBy>
  <dcterms:created xsi:type="dcterms:W3CDTF">2015-06-05T18:17:20Z</dcterms:created>
  <dcterms:modified xsi:type="dcterms:W3CDTF">2026-03-12T09:39:21Z</dcterms:modified>
</cp:coreProperties>
</file>