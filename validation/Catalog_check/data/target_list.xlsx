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BS\Desktop\EXOPLANET WORK\006 NATSUME\validation\Catalog_check_new\data\"/>
    </mc:Choice>
  </mc:AlternateContent>
  <xr:revisionPtr revIDLastSave="0" documentId="13_ncr:1_{71985B27-AE75-4D30-8CE1-770F9377BE9D}" xr6:coauthVersionLast="47" xr6:coauthVersionMax="47" xr10:uidLastSave="{00000000-0000-0000-0000-000000000000}"/>
  <bookViews>
    <workbookView xWindow="-86" yWindow="0" windowWidth="11143" windowHeight="130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0" i="1" l="1"/>
  <c r="Q30" i="1"/>
  <c r="P31" i="1"/>
  <c r="Q31" i="1"/>
  <c r="P32" i="1"/>
  <c r="Q32" i="1"/>
  <c r="Q45" i="1"/>
  <c r="P45" i="1"/>
  <c r="Q44" i="1"/>
  <c r="P44" i="1"/>
  <c r="Q43" i="1"/>
  <c r="P43" i="1"/>
  <c r="Q3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3" i="1"/>
  <c r="Q34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3" i="1"/>
  <c r="P34" i="1"/>
  <c r="P35" i="1"/>
  <c r="P36" i="1"/>
  <c r="P37" i="1"/>
  <c r="P38" i="1"/>
  <c r="P39" i="1"/>
  <c r="P40" i="1"/>
  <c r="P41" i="1"/>
  <c r="P2" i="1"/>
</calcChain>
</file>

<file path=xl/sharedStrings.xml><?xml version="1.0" encoding="utf-8"?>
<sst xmlns="http://schemas.openxmlformats.org/spreadsheetml/2006/main" count="360" uniqueCount="191">
  <si>
    <t>KOI_inner</t>
  </si>
  <si>
    <t>KOI_outer</t>
  </si>
  <si>
    <t>ephemeride_reference</t>
  </si>
  <si>
    <t>T0_inner</t>
  </si>
  <si>
    <t>T0_inner_err</t>
  </si>
  <si>
    <t>P_inner</t>
  </si>
  <si>
    <t>P_inner_err</t>
  </si>
  <si>
    <t>T0_outer</t>
  </si>
  <si>
    <t>T0_outer_err</t>
  </si>
  <si>
    <t>P_outer</t>
  </si>
  <si>
    <t>P_outer_err</t>
  </si>
  <si>
    <t>pl_mass_inner</t>
  </si>
  <si>
    <t>pl_mass_inner_err</t>
  </si>
  <si>
    <t>pl_mass_outer</t>
  </si>
  <si>
    <t>pl_mass_outer_err</t>
  </si>
  <si>
    <t>e_inner</t>
  </si>
  <si>
    <t>e_inner_err</t>
  </si>
  <si>
    <t>e_outer</t>
  </si>
  <si>
    <t>e_outer_err</t>
  </si>
  <si>
    <t>peri_inner</t>
  </si>
  <si>
    <t>peri_inner_err</t>
  </si>
  <si>
    <t>peri_outer</t>
  </si>
  <si>
    <t>peri_outer_err</t>
  </si>
  <si>
    <t>st_mass</t>
  </si>
  <si>
    <t>st_mass_error</t>
  </si>
  <si>
    <t>name_inner</t>
  </si>
  <si>
    <t>name_outer</t>
  </si>
  <si>
    <t>j</t>
  </si>
  <si>
    <t>N</t>
  </si>
  <si>
    <t>expected_Pttv</t>
  </si>
  <si>
    <t>Delta</t>
  </si>
  <si>
    <t>MMR</t>
  </si>
  <si>
    <t>ephemeride_reference_doi</t>
  </si>
  <si>
    <t>TOI-2015b</t>
  </si>
  <si>
    <t>TOI-2015c</t>
  </si>
  <si>
    <t>Kepler-18c</t>
  </si>
  <si>
    <t>Kepler-18d</t>
  </si>
  <si>
    <t>Holczer+16</t>
  </si>
  <si>
    <t>Kepler-79b</t>
  </si>
  <si>
    <t>Kepler-79c</t>
  </si>
  <si>
    <t>Kepler-11b</t>
  </si>
  <si>
    <t>Kepler-11c</t>
  </si>
  <si>
    <t>Kepler-11d</t>
  </si>
  <si>
    <t>Kepler-11e</t>
  </si>
  <si>
    <t>Kepler-25b</t>
  </si>
  <si>
    <t>Kepler-25c</t>
  </si>
  <si>
    <t>Kepler-49b</t>
  </si>
  <si>
    <t>Kepler-49c</t>
  </si>
  <si>
    <t>Kepler-80b</t>
  </si>
  <si>
    <t>Kepler-80c</t>
  </si>
  <si>
    <t>Kepler-80e</t>
  </si>
  <si>
    <t>Kepler-11f</t>
  </si>
  <si>
    <t>Kepler-23b</t>
  </si>
  <si>
    <t>Kepler-23c</t>
  </si>
  <si>
    <t>Kepler-9b</t>
  </si>
  <si>
    <t>Kepler-9c</t>
  </si>
  <si>
    <t>Kepler-52b</t>
  </si>
  <si>
    <t>Kepler-52c</t>
  </si>
  <si>
    <t>Kepler-238e</t>
  </si>
  <si>
    <t>Kepler-238f</t>
  </si>
  <si>
    <t>Kepler-27b</t>
  </si>
  <si>
    <t>Kepler-27c</t>
  </si>
  <si>
    <t>Kepler-28b</t>
  </si>
  <si>
    <t>Kepler-28c</t>
  </si>
  <si>
    <t>Kepler-81b</t>
  </si>
  <si>
    <t>Kepler-81c</t>
  </si>
  <si>
    <t>Kepler-54b</t>
  </si>
  <si>
    <t>Kepler-54c</t>
  </si>
  <si>
    <t>Kepler-32b</t>
  </si>
  <si>
    <t>Kepler-32c</t>
  </si>
  <si>
    <t>Kepler-24b</t>
  </si>
  <si>
    <t>Kepler-24c</t>
  </si>
  <si>
    <t>Kepler-277b</t>
  </si>
  <si>
    <t>Kepler-277c</t>
  </si>
  <si>
    <t>Kepler-279c</t>
  </si>
  <si>
    <t>Kepler-279d</t>
  </si>
  <si>
    <t>Kepler-56b</t>
  </si>
  <si>
    <t>Kepler-56c</t>
  </si>
  <si>
    <t>Kepler-297b</t>
  </si>
  <si>
    <t>Kepler-297c</t>
  </si>
  <si>
    <t>Kepler-59b</t>
  </si>
  <si>
    <t>Kepler-59c</t>
  </si>
  <si>
    <t>Kepler-396b</t>
  </si>
  <si>
    <t>Kepler-396c</t>
  </si>
  <si>
    <t>TOI-2202b</t>
  </si>
  <si>
    <t>TOI-2202c</t>
  </si>
  <si>
    <t>WASP-148b</t>
  </si>
  <si>
    <t>WASP-148c</t>
  </si>
  <si>
    <t>TOI-4504c</t>
  </si>
  <si>
    <t>TOI-4504d</t>
  </si>
  <si>
    <t>KOI-94c</t>
  </si>
  <si>
    <t>KOI-94d</t>
  </si>
  <si>
    <t>Kokkori+25</t>
  </si>
  <si>
    <t>TOI-125b</t>
  </si>
  <si>
    <t>TOI-125c</t>
  </si>
  <si>
    <t>TOI-216.01</t>
  </si>
  <si>
    <t>TOI-270b</t>
  </si>
  <si>
    <t>TOI-270c</t>
  </si>
  <si>
    <t>TOI-270d</t>
  </si>
  <si>
    <t>TOI-1130b</t>
  </si>
  <si>
    <t>TOI-1130c</t>
  </si>
  <si>
    <t>TOI-1136c</t>
  </si>
  <si>
    <t>TOI-1136d</t>
  </si>
  <si>
    <t>10.3847/0067-0049/225/1/9</t>
  </si>
  <si>
    <t>10.48550/arXiv.2511.14407</t>
  </si>
  <si>
    <t>Kepler-36b</t>
  </si>
  <si>
    <t>Kepler-36c</t>
  </si>
  <si>
    <t>Kepler-450b</t>
  </si>
  <si>
    <t>Kepler-450c</t>
  </si>
  <si>
    <t>TOI-216.02</t>
  </si>
  <si>
    <t>TOI-2525b</t>
  </si>
  <si>
    <t>TOI-2525c</t>
  </si>
  <si>
    <t>TOI-6109b</t>
  </si>
  <si>
    <t>TOI-6109c</t>
  </si>
  <si>
    <t>parameter_reference</t>
  </si>
  <si>
    <t>parameter_reference_doi</t>
  </si>
  <si>
    <t>L98-59c</t>
  </si>
  <si>
    <t>L98-59d</t>
  </si>
  <si>
    <t>K2-24b</t>
  </si>
  <si>
    <t>K2-24c</t>
  </si>
  <si>
    <t>2:1</t>
  </si>
  <si>
    <t>5:4</t>
  </si>
  <si>
    <t>3:2</t>
  </si>
  <si>
    <t>4:3</t>
  </si>
  <si>
    <t>7:6</t>
  </si>
  <si>
    <t>4:1</t>
  </si>
  <si>
    <t>5:3</t>
  </si>
  <si>
    <t>Cochran+11</t>
  </si>
  <si>
    <t>10.1088/0067-0049/197/1/7</t>
  </si>
  <si>
    <t>Borsato+09</t>
  </si>
  <si>
    <t>10.1093/mnras/stz181</t>
  </si>
  <si>
    <t>Almenara+22</t>
  </si>
  <si>
    <t>10.1051/0004-6361/202142964</t>
  </si>
  <si>
    <t>Jontof-Hutter+14</t>
  </si>
  <si>
    <t>10.1088/0004-637X/785/1/15</t>
  </si>
  <si>
    <t>Borsato+14</t>
  </si>
  <si>
    <t>10.1051/0004-6361/201424080</t>
  </si>
  <si>
    <t>Leleu+23</t>
  </si>
  <si>
    <t>10.1051/0004-6361/202244132</t>
  </si>
  <si>
    <t>Mills+19</t>
  </si>
  <si>
    <t>10.3847/1538-3881/ab0899</t>
  </si>
  <si>
    <t>Vissapragada+20</t>
  </si>
  <si>
    <t>10.3847/1538-3881/ab65c8</t>
  </si>
  <si>
    <t>Weisserman+23</t>
  </si>
  <si>
    <t>10.3847/1538-3881/acac80</t>
  </si>
  <si>
    <t>Borsato+24</t>
  </si>
  <si>
    <t>10.1051/0004-6361/202450974</t>
  </si>
  <si>
    <t>Beard+24</t>
  </si>
  <si>
    <t>10.3847/1538-3881/ad1330</t>
  </si>
  <si>
    <t>mutual_inclination</t>
  </si>
  <si>
    <t>mutual_inclination_err</t>
  </si>
  <si>
    <t>Masuda+13</t>
  </si>
  <si>
    <t>10.1088/0004-637X/778/2/185</t>
  </si>
  <si>
    <t>Demangeon+21</t>
  </si>
  <si>
    <t>10.1051/0004-6361/202140728</t>
  </si>
  <si>
    <t>Nielsen+23</t>
  </si>
  <si>
    <t>10.1093/mnras/staa197</t>
  </si>
  <si>
    <t>10.3847/1538-3881/abd8d0</t>
  </si>
  <si>
    <t>Dawson+21</t>
  </si>
  <si>
    <t>10.1093/mnras/stab3483</t>
  </si>
  <si>
    <t>Kaye+22</t>
  </si>
  <si>
    <t>Berkaoui+25</t>
  </si>
  <si>
    <t>10.1051/0004-6361/202452916</t>
  </si>
  <si>
    <t>5:2</t>
  </si>
  <si>
    <t>Ofir+25</t>
  </si>
  <si>
    <t>10.3847/1538-3881/ad91a7</t>
  </si>
  <si>
    <t>Hadden+14</t>
  </si>
  <si>
    <t xml:space="preserve"> 10.1088/0004-637X/787/1/80</t>
  </si>
  <si>
    <t>Yoffe+21</t>
  </si>
  <si>
    <t>10.3847/1538-4357/abc87a</t>
  </si>
  <si>
    <t>Xie14</t>
  </si>
  <si>
    <t>10.1088/0067-0049/210/2/25</t>
  </si>
  <si>
    <t>Kepler-26b</t>
  </si>
  <si>
    <t>Kepler-26c</t>
  </si>
  <si>
    <t>Kepler-138d</t>
  </si>
  <si>
    <t>Kepler-307b</t>
  </si>
  <si>
    <t>Kepler-307c</t>
  </si>
  <si>
    <t>Kepler-138c</t>
  </si>
  <si>
    <t>7:5</t>
  </si>
  <si>
    <t>Jontof-Hutter+16</t>
  </si>
  <si>
    <t>10.3847/0004-637X/820/1/39</t>
  </si>
  <si>
    <t>Almenara+18</t>
  </si>
  <si>
    <t>10.1093/mnras/sty1050</t>
  </si>
  <si>
    <t>Notes</t>
  </si>
  <si>
    <t>ew_converted</t>
  </si>
  <si>
    <t>ew_converted, Kepler LC Only</t>
  </si>
  <si>
    <t>ew_converted, Test4</t>
  </si>
  <si>
    <t>Configuration A</t>
  </si>
  <si>
    <t>ew_converted, TTV Only</t>
  </si>
  <si>
    <t>ew_converted, High mutual inclination</t>
  </si>
  <si>
    <t>ew_converted, 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</si>
</sst>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2" borderId="0" xfId="0" applyFill="1"/>
    <xf numFmtId="11" fontId="0" fillId="2" borderId="0" xfId="0" applyNumberFormat="1" applyFill="1"/>
    <xf numFmtId="49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9"/>
  <sheetViews>
    <sheetView tabSelected="1" topLeftCell="A12" zoomScale="74" zoomScaleNormal="85" workbookViewId="0">
      <selection activeCell="H34" sqref="H34"/>
    </sheetView>
  </sheetViews>
  <sheetFormatPr defaultRowHeight="14.6" x14ac:dyDescent="0.4"/>
  <cols>
    <col min="3" max="12" width="10.3828125" customWidth="1"/>
    <col min="13" max="13" width="10.3828125" style="1" customWidth="1"/>
    <col min="14" max="39" width="10.3828125" customWidth="1"/>
  </cols>
  <sheetData>
    <row r="1" spans="1:38" x14ac:dyDescent="0.4">
      <c r="A1" t="s">
        <v>0</v>
      </c>
      <c r="B1" t="s">
        <v>1</v>
      </c>
      <c r="C1" t="s">
        <v>25</v>
      </c>
      <c r="D1" t="s">
        <v>26</v>
      </c>
      <c r="E1" t="s">
        <v>3</v>
      </c>
      <c r="F1" t="s">
        <v>4</v>
      </c>
      <c r="G1" t="s">
        <v>7</v>
      </c>
      <c r="H1" t="s">
        <v>8</v>
      </c>
      <c r="I1" t="s">
        <v>5</v>
      </c>
      <c r="J1" t="s">
        <v>6</v>
      </c>
      <c r="K1" t="s">
        <v>9</v>
      </c>
      <c r="L1" t="s">
        <v>10</v>
      </c>
      <c r="M1" s="1" t="s">
        <v>31</v>
      </c>
      <c r="N1" t="s">
        <v>27</v>
      </c>
      <c r="O1" t="s">
        <v>28</v>
      </c>
      <c r="P1" t="s">
        <v>30</v>
      </c>
      <c r="Q1" t="s">
        <v>29</v>
      </c>
      <c r="R1" t="s">
        <v>2</v>
      </c>
      <c r="S1" t="s">
        <v>32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149</v>
      </c>
      <c r="AG1" t="s">
        <v>150</v>
      </c>
      <c r="AH1" t="s">
        <v>23</v>
      </c>
      <c r="AI1" t="s">
        <v>24</v>
      </c>
      <c r="AJ1" t="s">
        <v>114</v>
      </c>
      <c r="AK1" t="s">
        <v>115</v>
      </c>
      <c r="AL1" t="s">
        <v>183</v>
      </c>
    </row>
    <row r="2" spans="1:38" s="5" customFormat="1" x14ac:dyDescent="0.4">
      <c r="A2" s="5">
        <v>137.01</v>
      </c>
      <c r="B2" s="5">
        <v>137.02000000000001</v>
      </c>
      <c r="C2" s="5" t="s">
        <v>35</v>
      </c>
      <c r="D2" s="5" t="s">
        <v>36</v>
      </c>
      <c r="E2" s="5">
        <v>2454960.7678379999</v>
      </c>
      <c r="F2" s="5">
        <v>5.0199999999999995E-4</v>
      </c>
      <c r="G2" s="5">
        <v>2455704.0999799999</v>
      </c>
      <c r="H2" s="5">
        <v>2.5999999999999998E-4</v>
      </c>
      <c r="I2" s="5">
        <v>7.6415621900000001</v>
      </c>
      <c r="J2" s="6">
        <v>5.7000000000000005E-7</v>
      </c>
      <c r="K2" s="5">
        <v>14.8589225</v>
      </c>
      <c r="L2" s="6">
        <v>9.2E-6</v>
      </c>
      <c r="M2" s="7" t="s">
        <v>120</v>
      </c>
      <c r="N2" s="5">
        <v>2</v>
      </c>
      <c r="O2" s="5">
        <v>1</v>
      </c>
      <c r="P2" s="5">
        <f>K2/I2*(N2-O2)/N2 - 1</f>
        <v>-2.7756227683072732E-2</v>
      </c>
      <c r="Q2" s="5">
        <f>1/ABS(N2/K2-(N2-O2)/I2)</f>
        <v>267.66826295098014</v>
      </c>
      <c r="R2" s="5" t="s">
        <v>37</v>
      </c>
      <c r="S2" s="5" t="s">
        <v>103</v>
      </c>
      <c r="T2" s="5">
        <v>5.4431887273256201E-2</v>
      </c>
      <c r="U2" s="5">
        <v>5.9780685444616698E-3</v>
      </c>
      <c r="V2" s="5">
        <v>5.16001705943007E-2</v>
      </c>
      <c r="W2" s="5">
        <v>4.4048926117086001E-3</v>
      </c>
      <c r="X2" s="5">
        <v>3.3854098717880498E-4</v>
      </c>
      <c r="Y2" s="5">
        <v>1.37069864115155E-4</v>
      </c>
      <c r="Z2" s="5">
        <v>5.2156687011350696E-4</v>
      </c>
      <c r="AA2" s="5">
        <v>4.4520559724775099E-4</v>
      </c>
      <c r="AB2" s="5">
        <v>30.731556062626598</v>
      </c>
      <c r="AC2" s="5">
        <v>34.577790202100303</v>
      </c>
      <c r="AD2" s="5">
        <v>98.378672506215494</v>
      </c>
      <c r="AE2" s="5">
        <v>7.4933850537993196</v>
      </c>
      <c r="AF2" s="6"/>
      <c r="AG2" s="6"/>
      <c r="AH2" s="5">
        <v>0.97199999999999998</v>
      </c>
      <c r="AI2" s="5">
        <v>4.2000000000000003E-2</v>
      </c>
      <c r="AJ2" s="5" t="s">
        <v>127</v>
      </c>
      <c r="AK2" s="5" t="s">
        <v>128</v>
      </c>
      <c r="AL2" s="5" t="s">
        <v>184</v>
      </c>
    </row>
    <row r="3" spans="1:38" s="2" customFormat="1" x14ac:dyDescent="0.4">
      <c r="A3" s="2">
        <v>152.03</v>
      </c>
      <c r="B3" s="2">
        <v>152.02000000000001</v>
      </c>
      <c r="C3" s="2" t="s">
        <v>38</v>
      </c>
      <c r="D3" s="2" t="s">
        <v>39</v>
      </c>
      <c r="E3" s="2">
        <v>2454969.6222080002</v>
      </c>
      <c r="F3" s="2">
        <v>2.176E-3</v>
      </c>
      <c r="G3" s="2">
        <v>2454966.625606</v>
      </c>
      <c r="H3" s="2">
        <v>3.3479999999999998E-3</v>
      </c>
      <c r="I3" s="2">
        <v>13.484529390000001</v>
      </c>
      <c r="J3" s="3">
        <v>2.5600000000000001E-6</v>
      </c>
      <c r="K3" s="2">
        <v>27.402361899999999</v>
      </c>
      <c r="L3" s="3">
        <v>3.72E-6</v>
      </c>
      <c r="M3" s="4" t="s">
        <v>120</v>
      </c>
      <c r="N3" s="2">
        <v>2</v>
      </c>
      <c r="O3" s="2">
        <v>1</v>
      </c>
      <c r="P3" s="2">
        <f t="shared" ref="P3:P41" si="0">K3/I3*(N3-O3)/N3 - 1</f>
        <v>1.6066675649849982E-2</v>
      </c>
      <c r="Q3" s="2">
        <f t="shared" ref="Q3:Q41" si="1">1/ABS(N3/K3-(N3-O3)/I3)</f>
        <v>852.77012174749518</v>
      </c>
      <c r="R3" s="2" t="s">
        <v>37</v>
      </c>
      <c r="S3" s="2" t="s">
        <v>103</v>
      </c>
      <c r="AJ3" s="2" t="s">
        <v>133</v>
      </c>
      <c r="AK3" s="2" t="s">
        <v>134</v>
      </c>
    </row>
    <row r="4" spans="1:38" s="2" customFormat="1" x14ac:dyDescent="0.4">
      <c r="A4" s="2">
        <v>157.06</v>
      </c>
      <c r="B4" s="2">
        <v>157.01</v>
      </c>
      <c r="C4" s="2" t="s">
        <v>40</v>
      </c>
      <c r="D4" s="2" t="s">
        <v>41</v>
      </c>
      <c r="E4" s="2">
        <v>2454971.4994740002</v>
      </c>
      <c r="F4" s="2">
        <v>2.8890000000000001E-3</v>
      </c>
      <c r="G4" s="2">
        <v>2454971.1773509998</v>
      </c>
      <c r="H4" s="2">
        <v>1.531E-3</v>
      </c>
      <c r="I4" s="2">
        <v>10.30402569</v>
      </c>
      <c r="J4" s="3">
        <v>3.19E-6</v>
      </c>
      <c r="K4" s="2">
        <v>13.02490605</v>
      </c>
      <c r="L4" s="3">
        <v>1.7600000000000001E-6</v>
      </c>
      <c r="M4" s="4" t="s">
        <v>121</v>
      </c>
      <c r="N4" s="2">
        <v>5</v>
      </c>
      <c r="O4" s="2">
        <v>1</v>
      </c>
      <c r="P4" s="2">
        <f t="shared" si="0"/>
        <v>1.12479484705168E-2</v>
      </c>
      <c r="Q4" s="2">
        <f t="shared" si="1"/>
        <v>231.59611877918911</v>
      </c>
      <c r="R4" s="2" t="s">
        <v>37</v>
      </c>
      <c r="S4" s="2" t="s">
        <v>103</v>
      </c>
      <c r="AJ4" s="2" t="s">
        <v>135</v>
      </c>
      <c r="AK4" s="2" t="s">
        <v>136</v>
      </c>
    </row>
    <row r="5" spans="1:38" s="2" customFormat="1" x14ac:dyDescent="0.4">
      <c r="A5" s="2">
        <v>157.03</v>
      </c>
      <c r="B5" s="2">
        <v>157.04</v>
      </c>
      <c r="C5" s="2" t="s">
        <v>43</v>
      </c>
      <c r="D5" s="2" t="s">
        <v>51</v>
      </c>
      <c r="E5" s="2">
        <v>2454987.163005</v>
      </c>
      <c r="F5" s="2">
        <v>2.0600000000000002E-3</v>
      </c>
      <c r="G5" s="2">
        <v>2454964.67099</v>
      </c>
      <c r="H5" s="2">
        <v>8.5719999999999998E-3</v>
      </c>
      <c r="I5" s="2">
        <v>31.9954389</v>
      </c>
      <c r="J5" s="3">
        <v>2.2800000000000002E-6</v>
      </c>
      <c r="K5" s="2">
        <v>46.685688570000003</v>
      </c>
      <c r="L5" s="3">
        <v>9.0999999999999993E-6</v>
      </c>
      <c r="M5" s="4" t="s">
        <v>122</v>
      </c>
      <c r="N5" s="2">
        <v>3</v>
      </c>
      <c r="O5" s="2">
        <v>1</v>
      </c>
      <c r="P5" s="2">
        <f t="shared" si="0"/>
        <v>-2.7242836790715153E-2</v>
      </c>
      <c r="Q5" s="2">
        <f t="shared" si="1"/>
        <v>571.22891824921203</v>
      </c>
      <c r="R5" s="2" t="s">
        <v>37</v>
      </c>
      <c r="S5" s="2" t="s">
        <v>103</v>
      </c>
      <c r="AJ5" s="2" t="s">
        <v>135</v>
      </c>
      <c r="AK5" s="2" t="s">
        <v>136</v>
      </c>
    </row>
    <row r="6" spans="1:38" s="2" customFormat="1" x14ac:dyDescent="0.4">
      <c r="A6" s="2">
        <v>157.02000000000001</v>
      </c>
      <c r="B6" s="2">
        <v>157.03</v>
      </c>
      <c r="C6" s="2" t="s">
        <v>42</v>
      </c>
      <c r="D6" s="2" t="s">
        <v>43</v>
      </c>
      <c r="E6" s="2">
        <v>2454981.4558529998</v>
      </c>
      <c r="F6" s="2">
        <v>1.954E-3</v>
      </c>
      <c r="G6" s="2">
        <v>2454987.163005</v>
      </c>
      <c r="H6" s="2">
        <v>2.0600000000000002E-3</v>
      </c>
      <c r="I6" s="2">
        <v>22.687142510000001</v>
      </c>
      <c r="J6" s="3">
        <v>2.1500000000000002E-6</v>
      </c>
      <c r="K6" s="2">
        <v>31.9954389</v>
      </c>
      <c r="L6" s="3">
        <v>2.2800000000000002E-6</v>
      </c>
      <c r="M6" s="4" t="s">
        <v>123</v>
      </c>
      <c r="N6" s="2">
        <v>4</v>
      </c>
      <c r="O6" s="2">
        <v>1</v>
      </c>
      <c r="P6" s="2">
        <f t="shared" si="0"/>
        <v>5.7717126095665261E-2</v>
      </c>
      <c r="Q6" s="2">
        <f t="shared" si="1"/>
        <v>138.58728363817011</v>
      </c>
      <c r="R6" s="2" t="s">
        <v>37</v>
      </c>
      <c r="S6" s="2" t="s">
        <v>103</v>
      </c>
      <c r="AJ6" s="2" t="s">
        <v>135</v>
      </c>
      <c r="AK6" s="2" t="s">
        <v>136</v>
      </c>
    </row>
    <row r="7" spans="1:38" s="2" customFormat="1" x14ac:dyDescent="0.4">
      <c r="A7" s="2">
        <v>168.03</v>
      </c>
      <c r="B7" s="2">
        <v>168.01</v>
      </c>
      <c r="C7" s="2" t="s">
        <v>52</v>
      </c>
      <c r="D7" s="2" t="s">
        <v>53</v>
      </c>
      <c r="E7" s="2">
        <v>2454957.1122790002</v>
      </c>
      <c r="F7" s="2">
        <v>9.2999999999999992E-3</v>
      </c>
      <c r="G7" s="2">
        <v>2454955.5406240001</v>
      </c>
      <c r="H7" s="2">
        <v>3.1199999999999999E-3</v>
      </c>
      <c r="I7" s="2">
        <v>7.1069775499999999</v>
      </c>
      <c r="J7" s="3">
        <v>1.048E-5</v>
      </c>
      <c r="K7" s="2">
        <v>10.74244253</v>
      </c>
      <c r="L7" s="3">
        <v>3.49E-6</v>
      </c>
      <c r="M7" s="4" t="s">
        <v>122</v>
      </c>
      <c r="N7" s="2">
        <v>3</v>
      </c>
      <c r="O7" s="2">
        <v>1</v>
      </c>
      <c r="P7" s="2">
        <f t="shared" si="0"/>
        <v>7.6897391259289627E-3</v>
      </c>
      <c r="Q7" s="2">
        <f t="shared" si="1"/>
        <v>465.66133363257177</v>
      </c>
      <c r="R7" s="2" t="s">
        <v>37</v>
      </c>
      <c r="S7" s="2" t="s">
        <v>103</v>
      </c>
      <c r="AJ7" s="2" t="s">
        <v>137</v>
      </c>
      <c r="AK7" s="2" t="s">
        <v>138</v>
      </c>
    </row>
    <row r="8" spans="1:38" s="2" customFormat="1" x14ac:dyDescent="0.4">
      <c r="A8" s="2">
        <v>244.02</v>
      </c>
      <c r="B8" s="2">
        <v>244.01</v>
      </c>
      <c r="C8" s="2" t="s">
        <v>44</v>
      </c>
      <c r="D8" s="2" t="s">
        <v>45</v>
      </c>
      <c r="E8" s="2">
        <v>2454954.798343</v>
      </c>
      <c r="F8" s="2">
        <v>4.6900000000000002E-4</v>
      </c>
      <c r="G8" s="2">
        <v>2454960.6464189999</v>
      </c>
      <c r="H8" s="2">
        <v>2.6200000000000003E-4</v>
      </c>
      <c r="I8" s="2">
        <v>6.2385355499999999</v>
      </c>
      <c r="J8" s="3">
        <v>5.3000000000000001E-7</v>
      </c>
      <c r="K8" s="2">
        <v>12.72037372</v>
      </c>
      <c r="L8" s="3">
        <v>2.8999999999999998E-7</v>
      </c>
      <c r="M8" s="4" t="s">
        <v>120</v>
      </c>
      <c r="N8" s="2">
        <v>2</v>
      </c>
      <c r="O8" s="2">
        <v>1</v>
      </c>
      <c r="P8" s="2">
        <f t="shared" si="0"/>
        <v>1.9499978644827998E-2</v>
      </c>
      <c r="Q8" s="2">
        <f t="shared" si="1"/>
        <v>326.16378591198747</v>
      </c>
      <c r="R8" s="2" t="s">
        <v>37</v>
      </c>
      <c r="S8" s="2" t="s">
        <v>103</v>
      </c>
      <c r="AJ8" s="2" t="s">
        <v>139</v>
      </c>
      <c r="AK8" s="2" t="s">
        <v>140</v>
      </c>
    </row>
    <row r="9" spans="1:38" s="5" customFormat="1" x14ac:dyDescent="0.4">
      <c r="A9" s="5">
        <v>248.01</v>
      </c>
      <c r="B9" s="5">
        <v>248.02</v>
      </c>
      <c r="C9" s="5" t="s">
        <v>46</v>
      </c>
      <c r="D9" s="5" t="s">
        <v>47</v>
      </c>
      <c r="E9" s="5">
        <v>2454967.2680850001</v>
      </c>
      <c r="F9" s="5">
        <v>1.562E-3</v>
      </c>
      <c r="G9" s="5">
        <v>2454970.1166119999</v>
      </c>
      <c r="H9" s="5">
        <v>3.0990000000000002E-3</v>
      </c>
      <c r="I9" s="5">
        <v>7.2038525800000004</v>
      </c>
      <c r="J9" s="6">
        <v>1.73E-6</v>
      </c>
      <c r="K9" s="5">
        <v>10.912717519999999</v>
      </c>
      <c r="L9" s="6">
        <v>3.3900000000000002E-6</v>
      </c>
      <c r="M9" s="7" t="s">
        <v>122</v>
      </c>
      <c r="N9" s="5">
        <v>3</v>
      </c>
      <c r="O9" s="5">
        <v>1</v>
      </c>
      <c r="P9" s="5">
        <f t="shared" si="0"/>
        <v>9.8964314638061435E-3</v>
      </c>
      <c r="Q9" s="5">
        <f t="shared" si="1"/>
        <v>367.56405780914451</v>
      </c>
      <c r="R9" s="5" t="s">
        <v>37</v>
      </c>
      <c r="S9" s="5" t="s">
        <v>103</v>
      </c>
      <c r="T9" s="5">
        <v>1.7242008222973601E-2</v>
      </c>
      <c r="U9" s="5">
        <v>2.5170814924049098E-3</v>
      </c>
      <c r="V9" s="5">
        <v>1.5574441734255399E-2</v>
      </c>
      <c r="W9" s="5">
        <v>2.5485450110599699E-3</v>
      </c>
      <c r="X9" s="5">
        <v>7.1175838597096905E-2</v>
      </c>
      <c r="Y9" s="5">
        <v>3.8518152159670097E-2</v>
      </c>
      <c r="Z9" s="5">
        <v>5.7982756057296803E-2</v>
      </c>
      <c r="AA9" s="5">
        <v>4.4097086281979898E-2</v>
      </c>
      <c r="AB9" s="5">
        <v>65.955776730632095</v>
      </c>
      <c r="AC9" s="5">
        <v>29.394253858567499</v>
      </c>
      <c r="AD9" s="5">
        <v>69.189514154024195</v>
      </c>
      <c r="AE9" s="5">
        <v>41.137720438357</v>
      </c>
      <c r="AH9" s="5">
        <v>0.54100000000000004</v>
      </c>
      <c r="AI9" s="5">
        <v>3.6999999999999998E-2</v>
      </c>
      <c r="AJ9" s="5" t="s">
        <v>164</v>
      </c>
      <c r="AK9" s="5" t="s">
        <v>165</v>
      </c>
      <c r="AL9" s="5" t="s">
        <v>184</v>
      </c>
    </row>
    <row r="10" spans="1:38" s="5" customFormat="1" x14ac:dyDescent="0.4">
      <c r="A10" s="5">
        <v>277.02</v>
      </c>
      <c r="B10" s="5">
        <v>277.01</v>
      </c>
      <c r="C10" s="5" t="s">
        <v>105</v>
      </c>
      <c r="D10" s="5" t="s">
        <v>106</v>
      </c>
      <c r="E10" s="5">
        <v>2454960.8628159999</v>
      </c>
      <c r="F10" s="5">
        <v>2.7837000000000001E-2</v>
      </c>
      <c r="G10" s="5">
        <v>2454955.9776699999</v>
      </c>
      <c r="H10" s="5">
        <v>1.3792E-2</v>
      </c>
      <c r="I10" s="5">
        <v>13.84911836</v>
      </c>
      <c r="J10" s="6">
        <v>3.0559999999999999E-5</v>
      </c>
      <c r="K10" s="5">
        <v>16.23189245</v>
      </c>
      <c r="L10" s="6">
        <v>1.5970000000000001E-5</v>
      </c>
      <c r="M10" s="7" t="s">
        <v>124</v>
      </c>
      <c r="N10" s="5">
        <v>7</v>
      </c>
      <c r="O10" s="5">
        <v>1</v>
      </c>
      <c r="P10" s="5">
        <f t="shared" si="0"/>
        <v>4.6163452262220073E-3</v>
      </c>
      <c r="Q10" s="5">
        <f t="shared" si="1"/>
        <v>502.31117148686332</v>
      </c>
      <c r="R10" s="5" t="s">
        <v>37</v>
      </c>
      <c r="S10" s="5" t="s">
        <v>103</v>
      </c>
      <c r="T10" s="5">
        <v>1.2980778037443999E-2</v>
      </c>
      <c r="U10" s="5">
        <v>6.3405282793679797E-4</v>
      </c>
      <c r="V10" s="5">
        <v>2.4256812292526998E-2</v>
      </c>
      <c r="W10" s="5">
        <v>1.0626614644634999E-3</v>
      </c>
      <c r="X10" s="5">
        <v>5.6356011214421402E-2</v>
      </c>
      <c r="Y10" s="5">
        <v>2.71665494787127E-2</v>
      </c>
      <c r="Z10" s="5">
        <v>6.5802735505448406E-2</v>
      </c>
      <c r="AA10" s="5">
        <v>2.6091161909584298E-2</v>
      </c>
      <c r="AB10" s="5">
        <v>-27.474431626277099</v>
      </c>
      <c r="AC10" s="5">
        <v>32.833719383440297</v>
      </c>
      <c r="AD10" s="5">
        <v>-36.3474582088852</v>
      </c>
      <c r="AE10" s="5">
        <v>24.769679038597801</v>
      </c>
      <c r="AH10" s="5">
        <v>1.034</v>
      </c>
      <c r="AI10" s="5">
        <v>2.1999999999999999E-2</v>
      </c>
      <c r="AJ10" s="5" t="s">
        <v>141</v>
      </c>
      <c r="AK10" s="5" t="s">
        <v>142</v>
      </c>
      <c r="AL10" s="5" t="s">
        <v>185</v>
      </c>
    </row>
    <row r="11" spans="1:38" s="2" customFormat="1" x14ac:dyDescent="0.4">
      <c r="A11" s="2">
        <v>377.01</v>
      </c>
      <c r="B11" s="2">
        <v>377.02</v>
      </c>
      <c r="C11" s="2" t="s">
        <v>54</v>
      </c>
      <c r="D11" s="2" t="s">
        <v>55</v>
      </c>
      <c r="E11" s="2">
        <v>2454977.4931490002</v>
      </c>
      <c r="F11" s="2">
        <v>6.8478999999999998E-2</v>
      </c>
      <c r="G11" s="2">
        <v>2454968.8962130002</v>
      </c>
      <c r="H11" s="2">
        <v>0.20644699999999999</v>
      </c>
      <c r="I11" s="2">
        <v>19.246286489999999</v>
      </c>
      <c r="J11" s="3">
        <v>7.6379999999999997E-5</v>
      </c>
      <c r="K11" s="2">
        <v>38.949808509999997</v>
      </c>
      <c r="L11" s="2">
        <v>2.2939999999999999E-4</v>
      </c>
      <c r="M11" s="4" t="s">
        <v>120</v>
      </c>
      <c r="N11" s="2">
        <v>2</v>
      </c>
      <c r="O11" s="2">
        <v>1</v>
      </c>
      <c r="P11" s="2">
        <f t="shared" si="0"/>
        <v>1.1878539016801248E-2</v>
      </c>
      <c r="Q11" s="2">
        <f t="shared" si="1"/>
        <v>1639.503328435781</v>
      </c>
      <c r="R11" s="2" t="s">
        <v>37</v>
      </c>
      <c r="S11" s="2" t="s">
        <v>103</v>
      </c>
      <c r="AJ11" s="2" t="s">
        <v>129</v>
      </c>
      <c r="AK11" s="2" t="s">
        <v>130</v>
      </c>
    </row>
    <row r="12" spans="1:38" s="2" customFormat="1" x14ac:dyDescent="0.4">
      <c r="A12" s="2">
        <v>500.01</v>
      </c>
      <c r="B12" s="2">
        <v>500.02</v>
      </c>
      <c r="C12" s="2" t="s">
        <v>48</v>
      </c>
      <c r="D12" s="2" t="s">
        <v>49</v>
      </c>
      <c r="E12" s="2">
        <v>2454967.1544059999</v>
      </c>
      <c r="F12" s="2">
        <v>1.6689999999999999E-3</v>
      </c>
      <c r="G12" s="2">
        <v>2454972.3991080001</v>
      </c>
      <c r="H12" s="2">
        <v>1.8810000000000001E-3</v>
      </c>
      <c r="I12" s="2">
        <v>7.0535118700000003</v>
      </c>
      <c r="J12" s="3">
        <v>1.9099999999999999E-6</v>
      </c>
      <c r="K12" s="2">
        <v>9.5216308999999999</v>
      </c>
      <c r="L12" s="3">
        <v>2.12E-6</v>
      </c>
      <c r="M12" s="4" t="s">
        <v>123</v>
      </c>
      <c r="N12" s="2">
        <v>4</v>
      </c>
      <c r="O12" s="2">
        <v>1</v>
      </c>
      <c r="P12" s="2">
        <f t="shared" si="0"/>
        <v>1.2435125454747453E-2</v>
      </c>
      <c r="Q12" s="2">
        <f t="shared" si="1"/>
        <v>191.42611256014561</v>
      </c>
      <c r="R12" s="2" t="s">
        <v>37</v>
      </c>
      <c r="S12" s="2" t="s">
        <v>103</v>
      </c>
      <c r="AJ12" s="2" t="s">
        <v>143</v>
      </c>
      <c r="AK12" s="2" t="s">
        <v>144</v>
      </c>
    </row>
    <row r="13" spans="1:38" s="2" customFormat="1" x14ac:dyDescent="0.4">
      <c r="A13" s="2">
        <v>500.04</v>
      </c>
      <c r="B13" s="2">
        <v>500.01</v>
      </c>
      <c r="C13" s="2" t="s">
        <v>50</v>
      </c>
      <c r="D13" s="2" t="s">
        <v>48</v>
      </c>
      <c r="E13" s="2">
        <v>2454967.5946920002</v>
      </c>
      <c r="F13" s="2">
        <v>3.9909999999999998E-3</v>
      </c>
      <c r="G13" s="2">
        <v>2454967.1544059999</v>
      </c>
      <c r="H13" s="2">
        <v>1.6689999999999999E-3</v>
      </c>
      <c r="I13" s="2">
        <v>4.6453463499999996</v>
      </c>
      <c r="J13" s="3">
        <v>4.6800000000000001E-6</v>
      </c>
      <c r="K13" s="2">
        <v>7.0535118700000003</v>
      </c>
      <c r="L13" s="3">
        <v>1.9099999999999999E-6</v>
      </c>
      <c r="M13" s="4" t="s">
        <v>122</v>
      </c>
      <c r="N13" s="2">
        <v>3</v>
      </c>
      <c r="O13" s="2">
        <v>1</v>
      </c>
      <c r="P13" s="2">
        <f t="shared" si="0"/>
        <v>1.2269245901689763E-2</v>
      </c>
      <c r="Q13" s="2">
        <f t="shared" si="1"/>
        <v>191.63122511135782</v>
      </c>
      <c r="R13" s="2" t="s">
        <v>37</v>
      </c>
      <c r="S13" s="2" t="s">
        <v>103</v>
      </c>
      <c r="AJ13" s="2" t="s">
        <v>143</v>
      </c>
      <c r="AK13" s="2" t="s">
        <v>144</v>
      </c>
    </row>
    <row r="14" spans="1:38" s="2" customFormat="1" x14ac:dyDescent="0.4">
      <c r="A14" s="2">
        <v>500.04</v>
      </c>
      <c r="B14" s="2">
        <v>500.02</v>
      </c>
      <c r="C14" s="2" t="s">
        <v>50</v>
      </c>
      <c r="D14" s="2" t="s">
        <v>49</v>
      </c>
      <c r="E14" s="2">
        <v>2454967.5946920002</v>
      </c>
      <c r="F14" s="2">
        <v>3.9909999999999998E-3</v>
      </c>
      <c r="G14" s="2">
        <v>2454972.3991080001</v>
      </c>
      <c r="H14" s="2">
        <v>1.8810000000000001E-3</v>
      </c>
      <c r="I14" s="2">
        <v>4.6453463499999996</v>
      </c>
      <c r="J14" s="3">
        <v>4.6800000000000001E-6</v>
      </c>
      <c r="K14" s="2">
        <v>9.5216308999999999</v>
      </c>
      <c r="L14" s="3">
        <v>2.12E-6</v>
      </c>
      <c r="M14" s="4" t="s">
        <v>120</v>
      </c>
      <c r="N14" s="2">
        <v>2</v>
      </c>
      <c r="O14" s="2">
        <v>1</v>
      </c>
      <c r="P14" s="2">
        <f t="shared" si="0"/>
        <v>2.4856940968459806E-2</v>
      </c>
      <c r="Q14" s="2">
        <f t="shared" si="1"/>
        <v>191.52861392078921</v>
      </c>
      <c r="R14" s="2" t="s">
        <v>37</v>
      </c>
      <c r="S14" s="2" t="s">
        <v>103</v>
      </c>
      <c r="AJ14" s="2" t="s">
        <v>143</v>
      </c>
      <c r="AK14" s="2" t="s">
        <v>144</v>
      </c>
    </row>
    <row r="15" spans="1:38" s="5" customFormat="1" x14ac:dyDescent="0.4">
      <c r="A15" s="5">
        <v>775.02</v>
      </c>
      <c r="B15" s="5">
        <v>775.01</v>
      </c>
      <c r="C15" s="5" t="s">
        <v>56</v>
      </c>
      <c r="D15" s="5" t="s">
        <v>57</v>
      </c>
      <c r="E15" s="5">
        <v>2454969.9886639998</v>
      </c>
      <c r="F15" s="5">
        <v>2.1389999999999998E-3</v>
      </c>
      <c r="G15" s="5">
        <v>2454972.9592220001</v>
      </c>
      <c r="H15" s="5">
        <v>3.392E-3</v>
      </c>
      <c r="I15" s="5">
        <v>7.8774264499999997</v>
      </c>
      <c r="J15" s="6">
        <v>2.48E-6</v>
      </c>
      <c r="K15" s="5">
        <v>16.38482024</v>
      </c>
      <c r="L15" s="6">
        <v>3.8999999999999999E-6</v>
      </c>
      <c r="M15" s="7" t="s">
        <v>120</v>
      </c>
      <c r="N15" s="5">
        <v>2</v>
      </c>
      <c r="O15" s="5">
        <v>1</v>
      </c>
      <c r="P15" s="5">
        <f t="shared" si="0"/>
        <v>3.9985605958910542E-2</v>
      </c>
      <c r="Q15" s="5">
        <f t="shared" si="1"/>
        <v>204.88398071092254</v>
      </c>
      <c r="R15" s="5" t="s">
        <v>37</v>
      </c>
      <c r="S15" s="5" t="s">
        <v>103</v>
      </c>
      <c r="T15" s="5">
        <v>1.97276261967235E-2</v>
      </c>
      <c r="U15" s="5">
        <v>4.0587939065029202E-3</v>
      </c>
      <c r="V15" s="5">
        <v>9.4075920778633595E-2</v>
      </c>
      <c r="W15" s="5">
        <v>1.9507381566137998E-2</v>
      </c>
      <c r="X15" s="5">
        <v>6.9290764175321304E-2</v>
      </c>
      <c r="Y15" s="5">
        <v>7.0345158912926099E-3</v>
      </c>
      <c r="Z15" s="5">
        <v>4.7676514134319802E-2</v>
      </c>
      <c r="AA15" s="5">
        <v>1.2537384986704E-2</v>
      </c>
      <c r="AB15" s="5">
        <v>-107.72892064142199</v>
      </c>
      <c r="AC15" s="5">
        <v>3.31329697787766</v>
      </c>
      <c r="AD15" s="5">
        <v>-115.866356794094</v>
      </c>
      <c r="AE15" s="5">
        <v>12.118971254184901</v>
      </c>
      <c r="AH15" s="5">
        <v>0.63300000000000001</v>
      </c>
      <c r="AI15" s="5">
        <v>2.9000000000000001E-2</v>
      </c>
      <c r="AJ15" s="5" t="s">
        <v>164</v>
      </c>
      <c r="AK15" s="5" t="s">
        <v>165</v>
      </c>
      <c r="AL15" s="5" t="s">
        <v>184</v>
      </c>
    </row>
    <row r="16" spans="1:38" s="5" customFormat="1" x14ac:dyDescent="0.4">
      <c r="A16" s="5">
        <v>834.01</v>
      </c>
      <c r="B16" s="5">
        <v>834.05</v>
      </c>
      <c r="C16" s="5" t="s">
        <v>58</v>
      </c>
      <c r="D16" s="5" t="s">
        <v>59</v>
      </c>
      <c r="E16" s="5">
        <v>2454980.7210960002</v>
      </c>
      <c r="F16" s="5">
        <v>9.4799999999999995E-4</v>
      </c>
      <c r="G16" s="5">
        <v>2455011.4899300002</v>
      </c>
      <c r="H16" s="5">
        <v>1.5041000000000001E-2</v>
      </c>
      <c r="I16" s="5">
        <v>23.653675669999998</v>
      </c>
      <c r="J16" s="6">
        <v>1.06E-6</v>
      </c>
      <c r="K16" s="5">
        <v>50.447271950000001</v>
      </c>
      <c r="L16" s="6">
        <v>1.573E-5</v>
      </c>
      <c r="M16" s="7" t="s">
        <v>120</v>
      </c>
      <c r="N16" s="5">
        <v>2</v>
      </c>
      <c r="O16" s="5">
        <v>1</v>
      </c>
      <c r="P16" s="5">
        <f t="shared" si="0"/>
        <v>6.6372783955568782E-2</v>
      </c>
      <c r="Q16" s="5">
        <f t="shared" si="1"/>
        <v>380.0298024546517</v>
      </c>
      <c r="R16" s="5" t="s">
        <v>37</v>
      </c>
      <c r="S16" s="5" t="s">
        <v>103</v>
      </c>
      <c r="T16" s="5">
        <v>0.21709827871992299</v>
      </c>
      <c r="U16" s="5">
        <v>3.46098705205675E-2</v>
      </c>
      <c r="V16" s="5">
        <v>3.8385492759174897E-2</v>
      </c>
      <c r="W16" s="5">
        <v>5.9780685444616698E-3</v>
      </c>
      <c r="X16" s="5">
        <v>5.4155793780536497E-2</v>
      </c>
      <c r="Y16" s="5">
        <v>9.0209357382330699E-2</v>
      </c>
      <c r="Z16" s="5">
        <v>8.3520356800004095E-2</v>
      </c>
      <c r="AA16" s="5">
        <v>0.11350240424456801</v>
      </c>
      <c r="AB16" s="5">
        <v>122.252104554393</v>
      </c>
      <c r="AC16" s="5">
        <v>89.035727041518001</v>
      </c>
      <c r="AD16" s="5">
        <v>130.192046036969</v>
      </c>
      <c r="AE16" s="5">
        <v>74.780772168852096</v>
      </c>
      <c r="AH16" s="5">
        <v>1.2290000000000001</v>
      </c>
      <c r="AI16" s="5">
        <v>6.2E-2</v>
      </c>
      <c r="AJ16" s="5" t="s">
        <v>164</v>
      </c>
      <c r="AK16" s="5" t="s">
        <v>165</v>
      </c>
      <c r="AL16" s="5" t="s">
        <v>184</v>
      </c>
    </row>
    <row r="17" spans="1:38" s="2" customFormat="1" x14ac:dyDescent="0.4">
      <c r="A17" s="2">
        <v>841.01</v>
      </c>
      <c r="B17" s="2">
        <v>841.02</v>
      </c>
      <c r="C17" s="2" t="s">
        <v>60</v>
      </c>
      <c r="D17" s="2" t="s">
        <v>61</v>
      </c>
      <c r="E17" s="2">
        <v>2454976.333292</v>
      </c>
      <c r="F17" s="2">
        <v>1.8990000000000001E-3</v>
      </c>
      <c r="G17" s="2">
        <v>2454986.4305819999</v>
      </c>
      <c r="H17" s="2">
        <v>3.372E-3</v>
      </c>
      <c r="I17" s="2">
        <v>15.33527467</v>
      </c>
      <c r="J17" s="3">
        <v>2.1500000000000002E-6</v>
      </c>
      <c r="K17" s="2">
        <v>31.330465369999999</v>
      </c>
      <c r="L17" s="3">
        <v>3.7699999999999999E-6</v>
      </c>
      <c r="M17" s="4" t="s">
        <v>120</v>
      </c>
      <c r="N17" s="2">
        <v>2</v>
      </c>
      <c r="O17" s="2">
        <v>1</v>
      </c>
      <c r="P17" s="2">
        <f t="shared" si="0"/>
        <v>2.1516276825839231E-2</v>
      </c>
      <c r="Q17" s="2">
        <f t="shared" si="1"/>
        <v>728.06428416032384</v>
      </c>
      <c r="R17" s="2" t="s">
        <v>37</v>
      </c>
      <c r="S17" s="2" t="s">
        <v>103</v>
      </c>
      <c r="AJ17" s="2" t="s">
        <v>166</v>
      </c>
      <c r="AK17" s="2" t="s">
        <v>167</v>
      </c>
    </row>
    <row r="18" spans="1:38" s="2" customFormat="1" x14ac:dyDescent="0.4">
      <c r="A18" s="2">
        <v>870.01</v>
      </c>
      <c r="B18" s="2">
        <v>870.02</v>
      </c>
      <c r="C18" s="2" t="s">
        <v>62</v>
      </c>
      <c r="D18" s="2" t="s">
        <v>63</v>
      </c>
      <c r="E18" s="2">
        <v>2454969.7117150002</v>
      </c>
      <c r="F18" s="2">
        <v>1.1999999999999999E-3</v>
      </c>
      <c r="G18" s="2">
        <v>2454972.7390999999</v>
      </c>
      <c r="H18" s="2">
        <v>2.1779999999999998E-3</v>
      </c>
      <c r="I18" s="2">
        <v>5.9122721900000004</v>
      </c>
      <c r="J18" s="3">
        <v>1.3400000000000001E-6</v>
      </c>
      <c r="K18" s="2">
        <v>8.9858469999999997</v>
      </c>
      <c r="L18" s="3">
        <v>2.4899999999999999E-6</v>
      </c>
      <c r="M18" s="4" t="s">
        <v>122</v>
      </c>
      <c r="N18" s="2">
        <v>3</v>
      </c>
      <c r="O18" s="2">
        <v>1</v>
      </c>
      <c r="P18" s="2">
        <f t="shared" si="0"/>
        <v>1.3242366750145562E-2</v>
      </c>
      <c r="Q18" s="2">
        <f t="shared" si="1"/>
        <v>226.18935042713591</v>
      </c>
      <c r="R18" s="2" t="s">
        <v>37</v>
      </c>
      <c r="S18" s="2" t="s">
        <v>103</v>
      </c>
      <c r="AJ18" s="2" t="s">
        <v>137</v>
      </c>
      <c r="AK18" s="2" t="s">
        <v>138</v>
      </c>
    </row>
    <row r="19" spans="1:38" s="2" customFormat="1" x14ac:dyDescent="0.4">
      <c r="A19" s="2">
        <v>877.01</v>
      </c>
      <c r="B19" s="2">
        <v>877.02</v>
      </c>
      <c r="C19" s="2" t="s">
        <v>64</v>
      </c>
      <c r="D19" s="2" t="s">
        <v>65</v>
      </c>
      <c r="E19" s="2">
        <v>2454968.2269879999</v>
      </c>
      <c r="F19" s="2">
        <v>8.4500000000000005E-4</v>
      </c>
      <c r="G19" s="2">
        <v>2454966.0651719999</v>
      </c>
      <c r="H19" s="2">
        <v>1.9109999999999999E-3</v>
      </c>
      <c r="I19" s="2">
        <v>5.9548970299999997</v>
      </c>
      <c r="J19" s="3">
        <v>9.1999999999999998E-7</v>
      </c>
      <c r="K19" s="2">
        <v>12.039916610000001</v>
      </c>
      <c r="L19" s="3">
        <v>2.17E-6</v>
      </c>
      <c r="M19" s="4" t="s">
        <v>120</v>
      </c>
      <c r="N19" s="2">
        <v>2</v>
      </c>
      <c r="O19" s="2">
        <v>1</v>
      </c>
      <c r="P19" s="2">
        <f t="shared" si="0"/>
        <v>1.0925675905432142E-2</v>
      </c>
      <c r="Q19" s="2">
        <f t="shared" si="1"/>
        <v>550.99184316888829</v>
      </c>
      <c r="R19" s="2" t="s">
        <v>37</v>
      </c>
      <c r="S19" s="2" t="s">
        <v>103</v>
      </c>
      <c r="AJ19" s="2" t="s">
        <v>166</v>
      </c>
      <c r="AK19" s="2" t="s">
        <v>167</v>
      </c>
    </row>
    <row r="20" spans="1:38" s="5" customFormat="1" x14ac:dyDescent="0.4">
      <c r="A20" s="5">
        <v>886.01</v>
      </c>
      <c r="B20" s="5">
        <v>886.02</v>
      </c>
      <c r="C20" s="5" t="s">
        <v>66</v>
      </c>
      <c r="D20" s="5" t="s">
        <v>67</v>
      </c>
      <c r="E20" s="5">
        <v>2454971.1594099998</v>
      </c>
      <c r="F20" s="5">
        <v>5.8760000000000001E-3</v>
      </c>
      <c r="G20" s="5">
        <v>2454976.4613120002</v>
      </c>
      <c r="H20" s="5">
        <v>1.3605000000000001E-2</v>
      </c>
      <c r="I20" s="5">
        <v>8.0108076500000003</v>
      </c>
      <c r="J20" s="6">
        <v>6.63E-6</v>
      </c>
      <c r="K20" s="5">
        <v>12.07130385</v>
      </c>
      <c r="L20" s="6">
        <v>1.5469999999999999E-5</v>
      </c>
      <c r="M20" s="7" t="s">
        <v>122</v>
      </c>
      <c r="N20" s="5">
        <v>3</v>
      </c>
      <c r="O20" s="5">
        <v>1</v>
      </c>
      <c r="P20" s="5">
        <f t="shared" si="0"/>
        <v>4.5848373353465366E-3</v>
      </c>
      <c r="Q20" s="5">
        <f t="shared" si="1"/>
        <v>877.625018226713</v>
      </c>
      <c r="R20" s="5" t="s">
        <v>37</v>
      </c>
      <c r="S20" s="5" t="s">
        <v>103</v>
      </c>
      <c r="T20" s="5">
        <v>3.08342482819602E-3</v>
      </c>
      <c r="U20" s="5">
        <v>1.0697596342720799E-3</v>
      </c>
      <c r="V20" s="5">
        <v>2.2024463058543001E-3</v>
      </c>
      <c r="W20" s="5">
        <v>7.8658796637653505E-4</v>
      </c>
      <c r="X20" s="5">
        <v>0.01</v>
      </c>
      <c r="Y20" s="5">
        <v>1.3199999999999899E-2</v>
      </c>
      <c r="Z20" s="5">
        <v>3.1241798923877601E-2</v>
      </c>
      <c r="AA20" s="5">
        <v>2.07441464022626E-2</v>
      </c>
      <c r="AB20" s="5">
        <v>0</v>
      </c>
      <c r="AC20" s="5">
        <v>91.6732472209317</v>
      </c>
      <c r="AD20" s="5">
        <v>-48.503531644784402</v>
      </c>
      <c r="AE20" s="5">
        <v>36.6940695139401</v>
      </c>
      <c r="AH20" s="5">
        <v>0.48399999999999999</v>
      </c>
      <c r="AI20" s="5">
        <v>3.7999999999999999E-2</v>
      </c>
      <c r="AJ20" s="5" t="s">
        <v>164</v>
      </c>
      <c r="AK20" s="5" t="s">
        <v>165</v>
      </c>
      <c r="AL20" s="5" t="s">
        <v>184</v>
      </c>
    </row>
    <row r="21" spans="1:38" s="2" customFormat="1" x14ac:dyDescent="0.4">
      <c r="A21" s="2">
        <v>952.01</v>
      </c>
      <c r="B21" s="2">
        <v>952.02</v>
      </c>
      <c r="C21" s="2" t="s">
        <v>68</v>
      </c>
      <c r="D21" s="2" t="s">
        <v>69</v>
      </c>
      <c r="E21" s="2">
        <v>2454968.9978760001</v>
      </c>
      <c r="F21" s="2">
        <v>1.387E-3</v>
      </c>
      <c r="G21" s="2">
        <v>2454968.6284210002</v>
      </c>
      <c r="H21" s="2">
        <v>2.513E-3</v>
      </c>
      <c r="I21" s="2">
        <v>5.9012915000000001</v>
      </c>
      <c r="J21" s="3">
        <v>1.64E-6</v>
      </c>
      <c r="K21" s="2">
        <v>8.7520827099999998</v>
      </c>
      <c r="L21" s="3">
        <v>3.0400000000000001E-6</v>
      </c>
      <c r="M21" s="4" t="s">
        <v>122</v>
      </c>
      <c r="N21" s="2">
        <v>3</v>
      </c>
      <c r="O21" s="2">
        <v>1</v>
      </c>
      <c r="P21" s="2">
        <f t="shared" si="0"/>
        <v>-1.1280529581250698E-2</v>
      </c>
      <c r="Q21" s="2">
        <f t="shared" si="1"/>
        <v>258.61914392585408</v>
      </c>
      <c r="R21" s="2" t="s">
        <v>37</v>
      </c>
      <c r="S21" s="2" t="s">
        <v>103</v>
      </c>
      <c r="AJ21" s="2" t="s">
        <v>164</v>
      </c>
      <c r="AK21" s="2" t="s">
        <v>165</v>
      </c>
    </row>
    <row r="22" spans="1:38" s="2" customFormat="1" x14ac:dyDescent="0.4">
      <c r="A22" s="2">
        <v>1102.02</v>
      </c>
      <c r="B22" s="2">
        <v>1102.01</v>
      </c>
      <c r="C22" s="2" t="s">
        <v>70</v>
      </c>
      <c r="D22" s="2" t="s">
        <v>71</v>
      </c>
      <c r="E22" s="2">
        <v>2454965.421691</v>
      </c>
      <c r="F22" s="2">
        <v>5.4229999999999999E-3</v>
      </c>
      <c r="G22" s="2">
        <v>2454970.5905519999</v>
      </c>
      <c r="H22" s="2">
        <v>9.3279999999999995E-3</v>
      </c>
      <c r="I22" s="2">
        <v>8.14518217</v>
      </c>
      <c r="J22" s="3">
        <v>6.1099999999999999E-6</v>
      </c>
      <c r="K22" s="2">
        <v>12.33346255</v>
      </c>
      <c r="L22" s="3">
        <v>1.0169999999999999E-5</v>
      </c>
      <c r="M22" s="4" t="s">
        <v>122</v>
      </c>
      <c r="N22" s="2">
        <v>3</v>
      </c>
      <c r="O22" s="2">
        <v>1</v>
      </c>
      <c r="P22" s="2">
        <f t="shared" si="0"/>
        <v>9.4689345255818402E-3</v>
      </c>
      <c r="Q22" s="2">
        <f t="shared" si="1"/>
        <v>434.17283879472831</v>
      </c>
      <c r="R22" s="2" t="s">
        <v>37</v>
      </c>
      <c r="S22" s="2" t="s">
        <v>103</v>
      </c>
      <c r="AJ22" s="2" t="s">
        <v>164</v>
      </c>
      <c r="AK22" s="2" t="s">
        <v>165</v>
      </c>
    </row>
    <row r="23" spans="1:38" s="2" customFormat="1" x14ac:dyDescent="0.4">
      <c r="A23" s="2">
        <v>1215.01</v>
      </c>
      <c r="B23" s="2">
        <v>1215.02</v>
      </c>
      <c r="C23" s="2" t="s">
        <v>72</v>
      </c>
      <c r="D23" s="2" t="s">
        <v>73</v>
      </c>
      <c r="E23" s="2">
        <v>2454957.7829860002</v>
      </c>
      <c r="F23" s="2">
        <v>5.4320000000000002E-3</v>
      </c>
      <c r="G23" s="2">
        <v>2454978.3813609998</v>
      </c>
      <c r="H23" s="2">
        <v>8.8660000000000006E-3</v>
      </c>
      <c r="I23" s="2">
        <v>17.324054910000001</v>
      </c>
      <c r="J23" s="3">
        <v>6.0000000000000002E-6</v>
      </c>
      <c r="K23" s="2">
        <v>33.00669147</v>
      </c>
      <c r="L23" s="3">
        <v>9.2599999999999994E-6</v>
      </c>
      <c r="M23" s="4" t="s">
        <v>120</v>
      </c>
      <c r="N23" s="2">
        <v>2</v>
      </c>
      <c r="O23" s="2">
        <v>1</v>
      </c>
      <c r="P23" s="2">
        <f t="shared" si="0"/>
        <v>-4.7373965232946791E-2</v>
      </c>
      <c r="Q23" s="2">
        <f t="shared" si="1"/>
        <v>348.36319176260469</v>
      </c>
      <c r="R23" s="2" t="s">
        <v>37</v>
      </c>
      <c r="S23" s="2" t="s">
        <v>103</v>
      </c>
      <c r="AJ23" s="2" t="s">
        <v>164</v>
      </c>
      <c r="AK23" s="2" t="s">
        <v>165</v>
      </c>
    </row>
    <row r="24" spans="1:38" s="2" customFormat="1" x14ac:dyDescent="0.4">
      <c r="A24" s="2">
        <v>1236.01</v>
      </c>
      <c r="B24" s="2">
        <v>1236.03</v>
      </c>
      <c r="C24" s="2" t="s">
        <v>74</v>
      </c>
      <c r="D24" s="2" t="s">
        <v>75</v>
      </c>
      <c r="E24" s="2">
        <v>2454984.1313490001</v>
      </c>
      <c r="F24" s="2">
        <v>1.7714000000000001E-2</v>
      </c>
      <c r="G24" s="2">
        <v>2454981.7592620002</v>
      </c>
      <c r="H24" s="2">
        <v>5.6536000000000003E-2</v>
      </c>
      <c r="I24" s="2">
        <v>35.734327460000003</v>
      </c>
      <c r="J24" s="3">
        <v>1.876E-5</v>
      </c>
      <c r="K24" s="2">
        <v>54.416055040000003</v>
      </c>
      <c r="L24" s="3">
        <v>6.5279999999999998E-5</v>
      </c>
      <c r="M24" s="4" t="s">
        <v>122</v>
      </c>
      <c r="N24" s="2">
        <v>3</v>
      </c>
      <c r="O24" s="2">
        <v>1</v>
      </c>
      <c r="P24" s="2">
        <f t="shared" si="0"/>
        <v>1.5196663971765778E-2</v>
      </c>
      <c r="Q24" s="2">
        <f t="shared" si="1"/>
        <v>1193.5965055905274</v>
      </c>
      <c r="R24" s="2" t="s">
        <v>37</v>
      </c>
      <c r="S24" s="2" t="s">
        <v>103</v>
      </c>
      <c r="AJ24" s="2" t="s">
        <v>164</v>
      </c>
      <c r="AK24" s="2" t="s">
        <v>165</v>
      </c>
    </row>
    <row r="25" spans="1:38" s="2" customFormat="1" x14ac:dyDescent="0.4">
      <c r="A25" s="2">
        <v>1241.02</v>
      </c>
      <c r="B25" s="2">
        <v>1241.01</v>
      </c>
      <c r="C25" s="2" t="s">
        <v>76</v>
      </c>
      <c r="D25" s="2" t="s">
        <v>77</v>
      </c>
      <c r="E25" s="2">
        <v>2454958.1075269999</v>
      </c>
      <c r="F25" s="2">
        <v>2.5205999999999999E-2</v>
      </c>
      <c r="G25" s="2">
        <v>2454958.6901099999</v>
      </c>
      <c r="H25" s="2">
        <v>1.0848999999999999E-2</v>
      </c>
      <c r="I25" s="2">
        <v>10.501067129999999</v>
      </c>
      <c r="J25" s="3">
        <v>2.8439999999999999E-5</v>
      </c>
      <c r="K25" s="2">
        <v>21.405695980000001</v>
      </c>
      <c r="L25" s="3">
        <v>1.2150000000000001E-5</v>
      </c>
      <c r="M25" s="4" t="s">
        <v>120</v>
      </c>
      <c r="N25" s="2">
        <v>2</v>
      </c>
      <c r="O25" s="2">
        <v>1</v>
      </c>
      <c r="P25" s="2">
        <f t="shared" si="0"/>
        <v>1.9215271886372731E-2</v>
      </c>
      <c r="Q25" s="2">
        <f t="shared" si="1"/>
        <v>556.99695811175957</v>
      </c>
      <c r="R25" s="2" t="s">
        <v>37</v>
      </c>
      <c r="S25" s="2" t="s">
        <v>103</v>
      </c>
    </row>
    <row r="26" spans="1:38" s="2" customFormat="1" x14ac:dyDescent="0.4">
      <c r="A26" s="2">
        <v>1426.01</v>
      </c>
      <c r="B26" s="2">
        <v>1426.02</v>
      </c>
      <c r="C26" s="2" t="s">
        <v>78</v>
      </c>
      <c r="D26" s="2" t="s">
        <v>79</v>
      </c>
      <c r="E26" s="2">
        <v>2454965.4378189999</v>
      </c>
      <c r="F26" s="2">
        <v>8.1139999999999997E-3</v>
      </c>
      <c r="G26" s="2">
        <v>2455032.9268970001</v>
      </c>
      <c r="H26" s="2">
        <v>1.5976000000000001E-2</v>
      </c>
      <c r="I26" s="2">
        <v>38.86872408</v>
      </c>
      <c r="J26" s="3">
        <v>9.1300000000000007E-6</v>
      </c>
      <c r="K26" s="2">
        <v>74.928476680000003</v>
      </c>
      <c r="L26" s="3">
        <v>1.6860000000000001E-5</v>
      </c>
      <c r="M26" s="4" t="s">
        <v>120</v>
      </c>
      <c r="N26" s="2">
        <v>2</v>
      </c>
      <c r="O26" s="2">
        <v>1</v>
      </c>
      <c r="P26" s="2">
        <f t="shared" si="0"/>
        <v>-3.613408397737139E-2</v>
      </c>
      <c r="Q26" s="2">
        <f t="shared" si="1"/>
        <v>1036.8116253745793</v>
      </c>
      <c r="R26" s="2" t="s">
        <v>37</v>
      </c>
      <c r="S26" s="2" t="s">
        <v>103</v>
      </c>
      <c r="AJ26" s="2" t="s">
        <v>166</v>
      </c>
      <c r="AK26" s="2" t="s">
        <v>167</v>
      </c>
    </row>
    <row r="27" spans="1:38" s="2" customFormat="1" x14ac:dyDescent="0.4">
      <c r="A27" s="2">
        <v>1529.02</v>
      </c>
      <c r="B27" s="2">
        <v>1529.01</v>
      </c>
      <c r="C27" s="2" t="s">
        <v>80</v>
      </c>
      <c r="D27" s="2" t="s">
        <v>81</v>
      </c>
      <c r="G27" s="2">
        <v>2454980.737768</v>
      </c>
      <c r="H27" s="2">
        <v>1.3847E-2</v>
      </c>
      <c r="K27" s="2">
        <v>17.977590209999999</v>
      </c>
      <c r="L27" s="3">
        <v>1.518E-5</v>
      </c>
      <c r="M27" s="4" t="s">
        <v>122</v>
      </c>
      <c r="N27" s="2">
        <v>3</v>
      </c>
      <c r="O27" s="2">
        <v>1</v>
      </c>
      <c r="P27" s="2" t="e">
        <f t="shared" si="0"/>
        <v>#DIV/0!</v>
      </c>
      <c r="Q27" s="2" t="e">
        <f t="shared" si="1"/>
        <v>#DIV/0!</v>
      </c>
      <c r="R27" s="2" t="s">
        <v>37</v>
      </c>
      <c r="S27" s="2" t="s">
        <v>103</v>
      </c>
      <c r="AJ27" s="2" t="s">
        <v>166</v>
      </c>
      <c r="AK27" s="2" t="s">
        <v>167</v>
      </c>
    </row>
    <row r="28" spans="1:38" s="2" customFormat="1" x14ac:dyDescent="0.4">
      <c r="A28" s="2">
        <v>2672.02</v>
      </c>
      <c r="B28" s="2">
        <v>2672.01</v>
      </c>
      <c r="C28" s="2" t="s">
        <v>82</v>
      </c>
      <c r="D28" s="2" t="s">
        <v>83</v>
      </c>
      <c r="E28" s="2">
        <v>2454995.495267</v>
      </c>
      <c r="F28" s="2">
        <v>5.94E-3</v>
      </c>
      <c r="G28" s="2">
        <v>2455546.7464000001</v>
      </c>
      <c r="H28" s="2">
        <v>6.1000000000000004E-3</v>
      </c>
      <c r="I28" s="2">
        <v>42.992921870000004</v>
      </c>
      <c r="J28" s="3">
        <v>6.3500000000000002E-6</v>
      </c>
      <c r="K28" s="2">
        <v>88.512799999999999</v>
      </c>
      <c r="L28" s="2">
        <v>1.1999999999999999E-3</v>
      </c>
      <c r="M28" s="4" t="s">
        <v>120</v>
      </c>
      <c r="N28" s="2">
        <v>2</v>
      </c>
      <c r="O28" s="2">
        <v>1</v>
      </c>
      <c r="P28" s="2">
        <f t="shared" si="0"/>
        <v>2.9388049824118578E-2</v>
      </c>
      <c r="Q28" s="2">
        <f t="shared" si="1"/>
        <v>1505.9318418495091</v>
      </c>
      <c r="R28" s="2" t="s">
        <v>37</v>
      </c>
      <c r="S28" s="2" t="s">
        <v>103</v>
      </c>
      <c r="AJ28" s="2" t="s">
        <v>170</v>
      </c>
      <c r="AK28" s="2" t="s">
        <v>171</v>
      </c>
    </row>
    <row r="29" spans="1:38" s="2" customFormat="1" x14ac:dyDescent="0.4">
      <c r="A29" s="2">
        <v>279.01</v>
      </c>
      <c r="B29" s="2">
        <v>279.02</v>
      </c>
      <c r="C29" s="2" t="s">
        <v>108</v>
      </c>
      <c r="D29" s="2" t="s">
        <v>107</v>
      </c>
      <c r="E29" s="2">
        <v>2454954.526751</v>
      </c>
      <c r="F29" s="2">
        <v>3.3089999999999999E-3</v>
      </c>
      <c r="G29" s="2">
        <v>2454981.2512889998</v>
      </c>
      <c r="H29" s="2">
        <v>6.7299999999999999E-4</v>
      </c>
      <c r="I29" s="2">
        <v>15.413123909999999</v>
      </c>
      <c r="J29" s="3">
        <v>3.7100000000000001E-6</v>
      </c>
      <c r="K29" s="2">
        <v>28.454907349999999</v>
      </c>
      <c r="L29" s="3">
        <v>7.6000000000000003E-7</v>
      </c>
      <c r="M29" s="4" t="s">
        <v>120</v>
      </c>
      <c r="N29" s="2">
        <v>2</v>
      </c>
      <c r="O29" s="2">
        <v>1</v>
      </c>
      <c r="P29" s="2">
        <f t="shared" si="0"/>
        <v>-7.6926017199585361E-2</v>
      </c>
      <c r="Q29" s="2">
        <f t="shared" si="1"/>
        <v>184.94982832773914</v>
      </c>
      <c r="R29" s="2" t="s">
        <v>37</v>
      </c>
      <c r="S29" s="2" t="s">
        <v>103</v>
      </c>
      <c r="AJ29" s="2" t="s">
        <v>168</v>
      </c>
      <c r="AK29" s="2" t="s">
        <v>169</v>
      </c>
    </row>
    <row r="30" spans="1:38" s="5" customFormat="1" x14ac:dyDescent="0.4">
      <c r="A30" s="5">
        <v>250.01</v>
      </c>
      <c r="B30" s="5">
        <v>250.02</v>
      </c>
      <c r="C30" s="5" t="s">
        <v>172</v>
      </c>
      <c r="D30" s="5" t="s">
        <v>173</v>
      </c>
      <c r="E30" s="5">
        <v>2454966.5479330001</v>
      </c>
      <c r="F30" s="5">
        <v>1.4809999999999999E-3</v>
      </c>
      <c r="G30" s="5">
        <v>2454965.6368249999</v>
      </c>
      <c r="H30" s="5">
        <v>1.887E-3</v>
      </c>
      <c r="I30" s="5">
        <v>12.283015300000001</v>
      </c>
      <c r="J30" s="6">
        <v>1.6700000000000001E-6</v>
      </c>
      <c r="K30" s="5">
        <v>17.251186010000001</v>
      </c>
      <c r="L30" s="6">
        <v>2.1100000000000001E-6</v>
      </c>
      <c r="M30" s="7" t="s">
        <v>178</v>
      </c>
      <c r="N30" s="5">
        <v>7</v>
      </c>
      <c r="O30" s="5">
        <v>2</v>
      </c>
      <c r="P30" s="5">
        <f t="shared" ref="P30:P32" si="2">K30/I30*(N30-O30)/N30 - 1</f>
        <v>3.1963178803962045E-3</v>
      </c>
      <c r="Q30" s="5">
        <f t="shared" ref="Q30:Q32" si="3">1/ABS(N30/K30-(N30-O30)/I30)</f>
        <v>771.02942714199673</v>
      </c>
      <c r="R30" s="5" t="s">
        <v>37</v>
      </c>
      <c r="S30" s="5" t="s">
        <v>103</v>
      </c>
      <c r="T30" s="5">
        <v>1.3795620243572801E-2</v>
      </c>
      <c r="U30" s="5">
        <v>1.88346915372928E-3</v>
      </c>
      <c r="V30" s="5">
        <v>2.08817080609911E-2</v>
      </c>
      <c r="W30" s="5">
        <v>2.41451042158941E-3</v>
      </c>
      <c r="X30" s="5">
        <v>2.74590604354919E-2</v>
      </c>
      <c r="Y30" s="5">
        <v>5.3067521175512999E-2</v>
      </c>
      <c r="Z30" s="5">
        <v>1.6401219466856701E-2</v>
      </c>
      <c r="AA30" s="5">
        <v>4.4753932767314E-2</v>
      </c>
      <c r="AB30" s="5">
        <v>-169.50852298766799</v>
      </c>
      <c r="AC30" s="5">
        <v>114.62647442610999</v>
      </c>
      <c r="AD30" s="5">
        <v>142.43140797117201</v>
      </c>
      <c r="AE30" s="5">
        <v>158.134464654591</v>
      </c>
      <c r="AH30" s="5">
        <v>0.54400000000000004</v>
      </c>
      <c r="AI30" s="5">
        <v>2.5000000000000001E-2</v>
      </c>
      <c r="AJ30" s="5" t="s">
        <v>179</v>
      </c>
      <c r="AK30" s="5" t="s">
        <v>180</v>
      </c>
      <c r="AL30" s="5" t="s">
        <v>186</v>
      </c>
    </row>
    <row r="31" spans="1:38" s="5" customFormat="1" x14ac:dyDescent="0.4">
      <c r="A31" s="5">
        <v>314.01</v>
      </c>
      <c r="B31" s="5">
        <v>314.02</v>
      </c>
      <c r="C31" s="5" t="s">
        <v>177</v>
      </c>
      <c r="D31" s="5" t="s">
        <v>174</v>
      </c>
      <c r="E31" s="5">
        <v>2454955.7286669998</v>
      </c>
      <c r="F31" s="5">
        <v>7.8399999999999997E-4</v>
      </c>
      <c r="G31" s="5">
        <v>2454957.8285710001</v>
      </c>
      <c r="H31" s="5">
        <v>2.7320000000000001E-3</v>
      </c>
      <c r="I31" s="5">
        <v>13.7810915</v>
      </c>
      <c r="J31" s="6">
        <v>8.8999999999999995E-7</v>
      </c>
      <c r="K31" s="5">
        <v>23.088988749999999</v>
      </c>
      <c r="L31" s="6">
        <v>3.1599999999999998E-6</v>
      </c>
      <c r="M31" s="7" t="s">
        <v>126</v>
      </c>
      <c r="N31" s="5">
        <v>5</v>
      </c>
      <c r="O31" s="5">
        <v>2</v>
      </c>
      <c r="P31" s="5">
        <f t="shared" si="2"/>
        <v>5.2464458276035852E-3</v>
      </c>
      <c r="Q31" s="5">
        <f t="shared" si="3"/>
        <v>880.17639021524701</v>
      </c>
      <c r="R31" s="5" t="s">
        <v>37</v>
      </c>
      <c r="S31" s="5" t="s">
        <v>103</v>
      </c>
      <c r="T31" s="5">
        <v>1.6361029700631899E-2</v>
      </c>
      <c r="U31" s="5">
        <v>3.7756222386073702E-3</v>
      </c>
      <c r="V31" s="5">
        <v>3.6812316826421798E-3</v>
      </c>
      <c r="W31" s="5">
        <v>9.4390555965184297E-4</v>
      </c>
      <c r="X31" s="5">
        <v>1.0999999999999999E-2</v>
      </c>
      <c r="Y31" s="5">
        <v>6.8999999999999999E-3</v>
      </c>
      <c r="Z31" s="5">
        <v>2.7E-2</v>
      </c>
      <c r="AA31" s="5">
        <v>5.0000000000000001E-3</v>
      </c>
      <c r="AB31" s="5">
        <v>88.81</v>
      </c>
      <c r="AC31" s="5">
        <v>0.15</v>
      </c>
      <c r="AD31" s="5">
        <v>88.951999999999998</v>
      </c>
      <c r="AE31" s="5">
        <v>8.2000000000000003E-2</v>
      </c>
      <c r="AH31" s="5">
        <v>0.55100000000000005</v>
      </c>
      <c r="AI31" s="5">
        <v>6.8000000000000005E-2</v>
      </c>
      <c r="AJ31" s="5" t="s">
        <v>181</v>
      </c>
      <c r="AK31" s="5" t="s">
        <v>182</v>
      </c>
      <c r="AL31" s="5" t="s">
        <v>187</v>
      </c>
    </row>
    <row r="32" spans="1:38" s="5" customFormat="1" x14ac:dyDescent="0.4">
      <c r="A32" s="5">
        <v>1576.01</v>
      </c>
      <c r="B32" s="5">
        <v>1576.02</v>
      </c>
      <c r="C32" s="5" t="s">
        <v>175</v>
      </c>
      <c r="D32" s="5" t="s">
        <v>176</v>
      </c>
      <c r="E32" s="5">
        <v>2454965.629828</v>
      </c>
      <c r="F32" s="5">
        <v>1.292E-3</v>
      </c>
      <c r="G32" s="5">
        <v>2454965.6298540002</v>
      </c>
      <c r="H32" s="5">
        <v>2.2070000000000002E-3</v>
      </c>
      <c r="I32" s="5">
        <v>10.415739889999999</v>
      </c>
      <c r="J32" s="6">
        <v>1.4300000000000001E-6</v>
      </c>
      <c r="K32" s="5">
        <v>13.084280120000001</v>
      </c>
      <c r="L32" s="6">
        <v>2.5399999999999998E-6</v>
      </c>
      <c r="M32" s="7" t="s">
        <v>121</v>
      </c>
      <c r="N32" s="5">
        <v>5</v>
      </c>
      <c r="O32" s="5">
        <v>1</v>
      </c>
      <c r="P32" s="5">
        <f t="shared" si="2"/>
        <v>4.9621252590630327E-3</v>
      </c>
      <c r="Q32" s="5">
        <f t="shared" si="3"/>
        <v>527.36597473439053</v>
      </c>
      <c r="R32" s="5" t="s">
        <v>37</v>
      </c>
      <c r="S32" s="5" t="s">
        <v>103</v>
      </c>
      <c r="T32" s="5">
        <v>2.636856815221E-2</v>
      </c>
      <c r="U32" s="5">
        <v>3.7851242212411998E-3</v>
      </c>
      <c r="V32" s="5">
        <v>1.3726494893087599E-2</v>
      </c>
      <c r="W32" s="5">
        <v>2.4550983606544401E-3</v>
      </c>
      <c r="X32" s="5">
        <v>4.1484937025383001E-2</v>
      </c>
      <c r="Y32" s="5">
        <v>5.6824367271997502E-2</v>
      </c>
      <c r="Z32" s="5">
        <v>2.92745623366088E-2</v>
      </c>
      <c r="AA32" s="5">
        <v>5.1721360995213503E-2</v>
      </c>
      <c r="AB32" s="5">
        <v>-74.623748751173807</v>
      </c>
      <c r="AC32" s="5">
        <v>54.881005998385803</v>
      </c>
      <c r="AD32" s="5">
        <v>-82.146686698021696</v>
      </c>
      <c r="AE32" s="5">
        <v>67.371035239101502</v>
      </c>
      <c r="AH32" s="5">
        <v>0.90700000000000003</v>
      </c>
      <c r="AI32" s="5">
        <v>3.4000000000000002E-2</v>
      </c>
      <c r="AJ32" s="5" t="s">
        <v>179</v>
      </c>
      <c r="AK32" s="5" t="s">
        <v>180</v>
      </c>
      <c r="AL32" s="5" t="s">
        <v>190</v>
      </c>
    </row>
    <row r="33" spans="3:38" s="5" customFormat="1" x14ac:dyDescent="0.4">
      <c r="C33" s="5" t="s">
        <v>86</v>
      </c>
      <c r="D33" s="5" t="s">
        <v>87</v>
      </c>
      <c r="E33" s="5">
        <v>2458582.5548</v>
      </c>
      <c r="F33" s="5">
        <v>1.1999999999999999E-3</v>
      </c>
      <c r="I33" s="5">
        <v>8.8038120000000006</v>
      </c>
      <c r="J33" s="6">
        <v>1.0000000000000001E-5</v>
      </c>
      <c r="K33" s="5">
        <v>34.546190000000003</v>
      </c>
      <c r="L33" s="5">
        <v>1.6000000000000001E-3</v>
      </c>
      <c r="M33" s="7" t="s">
        <v>125</v>
      </c>
      <c r="N33" s="5">
        <v>4</v>
      </c>
      <c r="O33" s="5">
        <v>3</v>
      </c>
      <c r="P33" s="5">
        <f t="shared" si="0"/>
        <v>-1.8999099480997539E-2</v>
      </c>
      <c r="Q33" s="5">
        <f t="shared" si="1"/>
        <v>454.57667657554327</v>
      </c>
      <c r="R33" s="5" t="s">
        <v>92</v>
      </c>
      <c r="S33" s="5" t="s">
        <v>104</v>
      </c>
      <c r="T33" s="5">
        <v>0.28699999999999998</v>
      </c>
      <c r="U33" s="5">
        <v>2.1999999999999999E-2</v>
      </c>
      <c r="V33" s="5">
        <v>0.39200000000000002</v>
      </c>
      <c r="W33" s="5">
        <v>2.7E-2</v>
      </c>
      <c r="X33" s="5">
        <v>0.20799999999999999</v>
      </c>
      <c r="Y33" s="5">
        <v>2.5000000000000001E-2</v>
      </c>
      <c r="Z33" s="5">
        <v>0.18090000000000001</v>
      </c>
      <c r="AA33" s="5">
        <v>1.7999999999999999E-2</v>
      </c>
      <c r="AB33" s="5">
        <v>60.6</v>
      </c>
      <c r="AC33" s="5">
        <v>6</v>
      </c>
      <c r="AD33" s="5">
        <v>26.1</v>
      </c>
      <c r="AE33" s="5">
        <v>9.4</v>
      </c>
      <c r="AF33" s="5">
        <v>20.8</v>
      </c>
      <c r="AG33" s="5">
        <v>4.5999999999999996</v>
      </c>
      <c r="AH33" s="5">
        <v>0.95399999999999996</v>
      </c>
      <c r="AI33" s="5">
        <v>5.1999999999999998E-2</v>
      </c>
      <c r="AJ33" s="5" t="s">
        <v>131</v>
      </c>
      <c r="AK33" s="5" t="s">
        <v>132</v>
      </c>
    </row>
    <row r="34" spans="3:38" s="5" customFormat="1" x14ac:dyDescent="0.4">
      <c r="C34" s="5" t="s">
        <v>90</v>
      </c>
      <c r="D34" s="5" t="s">
        <v>91</v>
      </c>
      <c r="E34" s="5">
        <v>2455679.8193999999</v>
      </c>
      <c r="F34" s="5">
        <v>5.0000000000000001E-4</v>
      </c>
      <c r="G34" s="5">
        <v>2455703.05975</v>
      </c>
      <c r="H34" s="5">
        <v>1.1E-4</v>
      </c>
      <c r="I34" s="5">
        <v>10.423674</v>
      </c>
      <c r="J34" s="6">
        <v>1.2999999999999999E-5</v>
      </c>
      <c r="K34" s="5">
        <v>22.342971899999998</v>
      </c>
      <c r="L34" s="6">
        <v>5.2000000000000002E-6</v>
      </c>
      <c r="M34" s="7" t="s">
        <v>120</v>
      </c>
      <c r="N34" s="5">
        <v>2</v>
      </c>
      <c r="O34" s="5">
        <v>1</v>
      </c>
      <c r="P34" s="5">
        <f t="shared" si="0"/>
        <v>7.1741686280672123E-2</v>
      </c>
      <c r="Q34" s="5">
        <f t="shared" si="1"/>
        <v>155.71819578221584</v>
      </c>
      <c r="R34" s="5" t="s">
        <v>92</v>
      </c>
      <c r="S34" s="5" t="s">
        <v>104</v>
      </c>
      <c r="T34" s="5">
        <v>2.9575707535757698E-2</v>
      </c>
      <c r="U34" s="5">
        <v>7.5512444772147403E-3</v>
      </c>
      <c r="V34" s="5">
        <v>0.16392493219286999</v>
      </c>
      <c r="W34" s="5">
        <v>2.23390982450936E-2</v>
      </c>
      <c r="X34" s="5">
        <v>1.4991330828181999E-2</v>
      </c>
      <c r="Y34" s="5">
        <v>8.1052364865659005E-3</v>
      </c>
      <c r="Z34" s="5">
        <v>2.3409399821439199E-2</v>
      </c>
      <c r="AA34" s="5">
        <v>1.49870990750755E-2</v>
      </c>
      <c r="AB34" s="5">
        <v>17.4680232512777</v>
      </c>
      <c r="AC34" s="5">
        <v>34.421786707579102</v>
      </c>
      <c r="AD34" s="5">
        <v>160.0168934781</v>
      </c>
      <c r="AE34" s="5">
        <v>49.703247242655699</v>
      </c>
      <c r="AH34" s="5">
        <v>1.25</v>
      </c>
      <c r="AI34" s="5">
        <v>0</v>
      </c>
      <c r="AJ34" s="5" t="s">
        <v>151</v>
      </c>
      <c r="AK34" s="5" t="s">
        <v>152</v>
      </c>
      <c r="AL34" s="5" t="s">
        <v>188</v>
      </c>
    </row>
    <row r="35" spans="3:38" s="2" customFormat="1" x14ac:dyDescent="0.4">
      <c r="C35" s="2" t="s">
        <v>116</v>
      </c>
      <c r="D35" s="2" t="s">
        <v>117</v>
      </c>
      <c r="E35" s="2">
        <v>2459245.6538999998</v>
      </c>
      <c r="F35" s="2">
        <v>1.2999999999999999E-4</v>
      </c>
      <c r="G35" s="2">
        <v>3.69067509</v>
      </c>
      <c r="H35" s="3">
        <v>7.4000000000000001E-7</v>
      </c>
      <c r="I35" s="2">
        <v>2459174.86925</v>
      </c>
      <c r="J35" s="2">
        <v>2.1000000000000001E-4</v>
      </c>
      <c r="K35" s="2">
        <v>7.4507307000000003</v>
      </c>
      <c r="L35" s="3">
        <v>2.6000000000000001E-6</v>
      </c>
      <c r="M35" s="4" t="s">
        <v>120</v>
      </c>
      <c r="N35" s="2">
        <v>2</v>
      </c>
      <c r="O35" s="2">
        <v>1</v>
      </c>
      <c r="P35" s="2">
        <f t="shared" si="0"/>
        <v>-0.99999848511572054</v>
      </c>
      <c r="Q35" s="2">
        <f>1/ABS(N35/K35-(N35-O35)/I35)</f>
        <v>3.7253709935059534</v>
      </c>
      <c r="R35" s="2" t="s">
        <v>92</v>
      </c>
      <c r="S35" s="2" t="s">
        <v>104</v>
      </c>
      <c r="AJ35" s="2" t="s">
        <v>153</v>
      </c>
      <c r="AK35" s="2" t="s">
        <v>154</v>
      </c>
    </row>
    <row r="36" spans="3:38" s="2" customFormat="1" x14ac:dyDescent="0.4">
      <c r="C36" s="2" t="s">
        <v>93</v>
      </c>
      <c r="D36" s="2" t="s">
        <v>94</v>
      </c>
      <c r="E36" s="2">
        <v>2458978.6849000002</v>
      </c>
      <c r="F36" s="2">
        <v>2.7000000000000001E-3</v>
      </c>
      <c r="G36" s="2">
        <v>2458847.1211999999</v>
      </c>
      <c r="H36" s="2">
        <v>3.8E-3</v>
      </c>
      <c r="I36" s="2">
        <v>4.6517169999999997</v>
      </c>
      <c r="J36" s="3">
        <v>1.8E-5</v>
      </c>
      <c r="K36" s="2">
        <v>9.1549659999999999</v>
      </c>
      <c r="L36" s="3">
        <v>4.5000000000000003E-5</v>
      </c>
      <c r="M36" s="4" t="s">
        <v>120</v>
      </c>
      <c r="N36" s="2">
        <v>2</v>
      </c>
      <c r="O36" s="2">
        <v>1</v>
      </c>
      <c r="P36" s="2">
        <f t="shared" si="0"/>
        <v>-1.595840847583796E-2</v>
      </c>
      <c r="Q36" s="2">
        <f t="shared" si="1"/>
        <v>286.83831516974948</v>
      </c>
      <c r="R36" s="2" t="s">
        <v>92</v>
      </c>
      <c r="S36" s="2" t="s">
        <v>104</v>
      </c>
      <c r="AJ36" s="2" t="s">
        <v>155</v>
      </c>
      <c r="AK36" s="2" t="s">
        <v>156</v>
      </c>
    </row>
    <row r="37" spans="3:38" s="2" customFormat="1" x14ac:dyDescent="0.4">
      <c r="C37" s="2" t="s">
        <v>109</v>
      </c>
      <c r="D37" s="2" t="s">
        <v>95</v>
      </c>
      <c r="E37" s="2">
        <v>2459201.64</v>
      </c>
      <c r="F37" s="2">
        <v>0.16</v>
      </c>
      <c r="G37" s="2">
        <v>2458952.6370000001</v>
      </c>
      <c r="H37" s="2">
        <v>3.5000000000000003E-2</v>
      </c>
      <c r="I37" s="2">
        <v>17.201899999999998</v>
      </c>
      <c r="J37" s="2">
        <v>6.6E-3</v>
      </c>
      <c r="K37" s="2">
        <v>34.506</v>
      </c>
      <c r="L37" s="2">
        <v>2.3999999999999998E-3</v>
      </c>
      <c r="M37" s="4" t="s">
        <v>120</v>
      </c>
      <c r="N37" s="2">
        <v>2</v>
      </c>
      <c r="O37" s="2">
        <v>1</v>
      </c>
      <c r="P37" s="2">
        <f t="shared" si="0"/>
        <v>2.9706020846536063E-3</v>
      </c>
      <c r="Q37" s="2">
        <f t="shared" si="1"/>
        <v>5807.9135166337592</v>
      </c>
      <c r="R37" s="2" t="s">
        <v>92</v>
      </c>
      <c r="S37" s="2" t="s">
        <v>104</v>
      </c>
      <c r="AJ37" s="2" t="s">
        <v>158</v>
      </c>
      <c r="AK37" s="2" t="s">
        <v>157</v>
      </c>
    </row>
    <row r="38" spans="3:38" s="2" customFormat="1" x14ac:dyDescent="0.4">
      <c r="C38" s="2" t="s">
        <v>96</v>
      </c>
      <c r="D38" s="2" t="s">
        <v>97</v>
      </c>
      <c r="E38" s="2">
        <v>2458874.3139999998</v>
      </c>
      <c r="F38" s="2">
        <v>1.1000000000000001E-3</v>
      </c>
      <c r="G38" s="2">
        <v>2458802.7162299999</v>
      </c>
      <c r="H38" s="2">
        <v>3.8000000000000002E-4</v>
      </c>
      <c r="I38" s="2">
        <v>3.360166</v>
      </c>
      <c r="J38" s="3">
        <v>1.1E-5</v>
      </c>
      <c r="K38" s="2">
        <v>5.6605629999999998</v>
      </c>
      <c r="L38" s="3">
        <v>1.0000000000000001E-5</v>
      </c>
      <c r="M38" s="4" t="s">
        <v>126</v>
      </c>
      <c r="N38" s="2">
        <v>5</v>
      </c>
      <c r="O38" s="2">
        <v>2</v>
      </c>
      <c r="P38" s="2">
        <f t="shared" si="0"/>
        <v>1.0764884830094745E-2</v>
      </c>
      <c r="Q38" s="2">
        <f t="shared" si="1"/>
        <v>105.16718180161338</v>
      </c>
      <c r="R38" s="2" t="s">
        <v>92</v>
      </c>
      <c r="S38" s="2" t="s">
        <v>104</v>
      </c>
      <c r="AJ38" s="2" t="s">
        <v>160</v>
      </c>
      <c r="AK38" s="2" t="s">
        <v>159</v>
      </c>
    </row>
    <row r="39" spans="3:38" s="2" customFormat="1" x14ac:dyDescent="0.4">
      <c r="C39" s="2" t="s">
        <v>97</v>
      </c>
      <c r="D39" s="2" t="s">
        <v>98</v>
      </c>
      <c r="E39" s="2">
        <v>2458802.7162299999</v>
      </c>
      <c r="F39" s="2">
        <v>3.8000000000000002E-4</v>
      </c>
      <c r="G39" s="2">
        <v>2458822.1081099999</v>
      </c>
      <c r="H39" s="2">
        <v>4.6999999999999999E-4</v>
      </c>
      <c r="I39" s="2">
        <v>5.6605629999999998</v>
      </c>
      <c r="J39" s="3">
        <v>1.0000000000000001E-5</v>
      </c>
      <c r="K39" s="2">
        <v>11.379549000000001</v>
      </c>
      <c r="L39" s="3">
        <v>2.5999999999999998E-5</v>
      </c>
      <c r="M39" s="4" t="s">
        <v>120</v>
      </c>
      <c r="N39" s="2">
        <v>2</v>
      </c>
      <c r="O39" s="2">
        <v>1</v>
      </c>
      <c r="P39" s="2">
        <f t="shared" si="0"/>
        <v>5.1605290851812757E-3</v>
      </c>
      <c r="Q39" s="2">
        <f t="shared" si="1"/>
        <v>1102.5564251422525</v>
      </c>
      <c r="R39" s="2" t="s">
        <v>92</v>
      </c>
      <c r="S39" s="2" t="s">
        <v>104</v>
      </c>
      <c r="AJ39" s="2" t="s">
        <v>160</v>
      </c>
      <c r="AK39" s="2" t="s">
        <v>159</v>
      </c>
    </row>
    <row r="40" spans="3:38" s="2" customFormat="1" x14ac:dyDescent="0.4">
      <c r="C40" s="2" t="s">
        <v>99</v>
      </c>
      <c r="D40" s="2" t="s">
        <v>100</v>
      </c>
      <c r="E40" s="2">
        <v>2459551.85</v>
      </c>
      <c r="F40" s="2">
        <v>1.6E-2</v>
      </c>
      <c r="G40" s="2">
        <v>2459534.6151000001</v>
      </c>
      <c r="H40" s="2">
        <v>1.2999999999999999E-3</v>
      </c>
      <c r="I40" s="2">
        <v>4.0783519999999998</v>
      </c>
      <c r="J40" s="3">
        <v>9.6000000000000002E-5</v>
      </c>
      <c r="K40" s="2">
        <v>8.349596</v>
      </c>
      <c r="L40" s="3">
        <v>1.5E-5</v>
      </c>
      <c r="M40" s="4" t="s">
        <v>120</v>
      </c>
      <c r="N40" s="2">
        <v>2</v>
      </c>
      <c r="O40" s="2">
        <v>1</v>
      </c>
      <c r="P40" s="2">
        <f t="shared" si="0"/>
        <v>2.3648277539555229E-2</v>
      </c>
      <c r="Q40" s="2">
        <f t="shared" si="1"/>
        <v>176.53708575675469</v>
      </c>
      <c r="R40" s="2" t="s">
        <v>92</v>
      </c>
      <c r="S40" s="2" t="s">
        <v>104</v>
      </c>
      <c r="AJ40" s="2" t="s">
        <v>145</v>
      </c>
      <c r="AK40" s="2" t="s">
        <v>146</v>
      </c>
    </row>
    <row r="41" spans="3:38" s="2" customFormat="1" x14ac:dyDescent="0.4">
      <c r="C41" s="2" t="s">
        <v>101</v>
      </c>
      <c r="D41" s="2" t="s">
        <v>102</v>
      </c>
      <c r="E41" s="2">
        <v>2459233.2184000001</v>
      </c>
      <c r="F41" s="2">
        <v>3.3E-3</v>
      </c>
      <c r="G41" s="2">
        <v>2458986.5144000002</v>
      </c>
      <c r="H41" s="2">
        <v>2.2000000000000001E-3</v>
      </c>
      <c r="I41" s="2">
        <v>6.2587080000000004</v>
      </c>
      <c r="J41" s="3">
        <v>4.8000000000000001E-5</v>
      </c>
      <c r="K41" s="2">
        <v>12.518996</v>
      </c>
      <c r="L41" s="3">
        <v>9.2999999999999997E-5</v>
      </c>
      <c r="M41" s="4" t="s">
        <v>120</v>
      </c>
      <c r="N41" s="2">
        <v>2</v>
      </c>
      <c r="O41" s="2">
        <v>1</v>
      </c>
      <c r="P41" s="2">
        <f t="shared" si="0"/>
        <v>1.2622413443796887E-4</v>
      </c>
      <c r="Q41" s="2">
        <f t="shared" si="1"/>
        <v>49590.34203621286</v>
      </c>
      <c r="R41" s="2" t="s">
        <v>92</v>
      </c>
      <c r="S41" s="2" t="s">
        <v>104</v>
      </c>
      <c r="AJ41" s="2" t="s">
        <v>147</v>
      </c>
      <c r="AK41" s="2" t="s">
        <v>148</v>
      </c>
    </row>
    <row r="42" spans="3:38" s="2" customFormat="1" x14ac:dyDescent="0.4">
      <c r="C42" s="2" t="s">
        <v>118</v>
      </c>
      <c r="D42" s="2" t="s">
        <v>119</v>
      </c>
      <c r="J42" s="3"/>
      <c r="L42" s="3"/>
      <c r="M42" s="4"/>
    </row>
    <row r="43" spans="3:38" s="5" customFormat="1" x14ac:dyDescent="0.4">
      <c r="C43" s="5" t="s">
        <v>33</v>
      </c>
      <c r="D43" s="5" t="s">
        <v>34</v>
      </c>
      <c r="E43" s="5">
        <v>2459712.9225975</v>
      </c>
      <c r="F43" s="5">
        <v>2.5100000000000001E-3</v>
      </c>
      <c r="I43" s="5">
        <v>3.3482370000000001</v>
      </c>
      <c r="J43" s="5">
        <v>3.4999999999999997E-5</v>
      </c>
      <c r="K43" s="5">
        <v>5.5827960000000001</v>
      </c>
      <c r="L43" s="5">
        <v>4.1999999999999998E-5</v>
      </c>
      <c r="M43" s="7" t="s">
        <v>126</v>
      </c>
      <c r="N43" s="5">
        <v>5</v>
      </c>
      <c r="O43" s="5">
        <v>2</v>
      </c>
      <c r="P43" s="5">
        <f t="shared" ref="P43:P45" si="4">K43/I43*(N43-O43)/N43 - 1</f>
        <v>4.3025628114135017E-4</v>
      </c>
      <c r="Q43" s="5">
        <f t="shared" ref="Q43:Q45" si="5">1/ABS(N43/K43-(N43-O43)/I43)</f>
        <v>2595.1026142789683</v>
      </c>
      <c r="R43" s="5" t="s">
        <v>161</v>
      </c>
      <c r="S43" s="5" t="s">
        <v>162</v>
      </c>
      <c r="T43" s="5">
        <v>2.8946437162656501E-2</v>
      </c>
      <c r="U43" s="5">
        <v>1.10122315292715E-3</v>
      </c>
      <c r="V43" s="5">
        <v>2.8033995121659699E-2</v>
      </c>
      <c r="W43" s="5">
        <v>1.2585407462024499E-3</v>
      </c>
      <c r="X43" s="5">
        <v>7.9014399999999999E-2</v>
      </c>
      <c r="Y43" s="5">
        <v>2.9692968810814402E-3</v>
      </c>
      <c r="Z43" s="5">
        <v>3.3073089999999998E-4</v>
      </c>
      <c r="AA43" s="5">
        <v>1.99564906734626E-4</v>
      </c>
      <c r="AB43" s="5">
        <v>-21.014096323205401</v>
      </c>
      <c r="AC43" s="5">
        <v>1.5976223096217099</v>
      </c>
      <c r="AD43" s="5">
        <v>28.580286791492899</v>
      </c>
      <c r="AE43" s="5">
        <v>12.655358163243701</v>
      </c>
      <c r="AH43" s="5">
        <v>0.33</v>
      </c>
      <c r="AI43" s="5">
        <v>0.02</v>
      </c>
      <c r="AJ43" s="5" t="s">
        <v>161</v>
      </c>
      <c r="AK43" s="5" t="s">
        <v>162</v>
      </c>
      <c r="AL43" s="5" t="s">
        <v>184</v>
      </c>
    </row>
    <row r="44" spans="3:38" s="5" customFormat="1" x14ac:dyDescent="0.4">
      <c r="C44" s="5" t="s">
        <v>33</v>
      </c>
      <c r="D44" s="5" t="s">
        <v>34</v>
      </c>
      <c r="E44" s="5">
        <v>2459712.9225975</v>
      </c>
      <c r="F44" s="5">
        <v>2.5100000000000001E-3</v>
      </c>
      <c r="I44" s="5">
        <v>3.3464932300000001</v>
      </c>
      <c r="J44" s="5">
        <v>4.7379999999999997E-5</v>
      </c>
      <c r="K44" s="5">
        <v>6.6981780000000004</v>
      </c>
      <c r="L44" s="5">
        <v>1.95E-4</v>
      </c>
      <c r="M44" s="7" t="s">
        <v>120</v>
      </c>
      <c r="N44" s="5">
        <v>2</v>
      </c>
      <c r="O44" s="5">
        <v>1</v>
      </c>
      <c r="P44" s="5">
        <f t="shared" si="4"/>
        <v>7.7566868408096568E-4</v>
      </c>
      <c r="Q44" s="5">
        <f t="shared" si="5"/>
        <v>4317.6797887206985</v>
      </c>
      <c r="R44" s="5" t="s">
        <v>161</v>
      </c>
      <c r="S44" s="5" t="s">
        <v>162</v>
      </c>
      <c r="T44" s="5">
        <v>2.52714981837453E-2</v>
      </c>
      <c r="U44" s="5">
        <v>2.1080557498891102E-3</v>
      </c>
      <c r="V44" s="5">
        <v>5.69804322843162E-2</v>
      </c>
      <c r="W44" s="5">
        <v>3.3980600147466302E-3</v>
      </c>
      <c r="X44" s="5">
        <v>0.17772352</v>
      </c>
      <c r="Y44" s="5">
        <v>9.3038689242701603E-3</v>
      </c>
      <c r="Z44" s="5">
        <v>9.9242099999999993E-3</v>
      </c>
      <c r="AA44" s="5">
        <v>3.9999548645453398E-3</v>
      </c>
      <c r="AB44" s="5">
        <v>168.839330476957</v>
      </c>
      <c r="AC44" s="5">
        <v>1.2609970353745199</v>
      </c>
      <c r="AD44" s="5">
        <v>-83.602645872477197</v>
      </c>
      <c r="AE44" s="5">
        <v>1.88610828162814</v>
      </c>
      <c r="AH44" s="5">
        <v>0.33</v>
      </c>
      <c r="AI44" s="5">
        <v>0.02</v>
      </c>
      <c r="AJ44" s="5" t="s">
        <v>161</v>
      </c>
      <c r="AK44" s="5" t="s">
        <v>162</v>
      </c>
      <c r="AL44" s="5" t="s">
        <v>189</v>
      </c>
    </row>
    <row r="45" spans="3:38" s="5" customFormat="1" x14ac:dyDescent="0.4">
      <c r="C45" s="5" t="s">
        <v>33</v>
      </c>
      <c r="D45" s="5" t="s">
        <v>34</v>
      </c>
      <c r="E45" s="5">
        <v>2459712.9225975</v>
      </c>
      <c r="F45" s="5">
        <v>2.5100000000000001E-3</v>
      </c>
      <c r="I45" s="5">
        <v>3.3480035899999998</v>
      </c>
      <c r="J45" s="5">
        <v>5.5630000000000001E-5</v>
      </c>
      <c r="K45" s="5">
        <v>8.3740679999999994</v>
      </c>
      <c r="L45" s="5">
        <v>5.7399999999999997E-4</v>
      </c>
      <c r="M45" s="7" t="s">
        <v>163</v>
      </c>
      <c r="N45" s="5">
        <v>5</v>
      </c>
      <c r="O45" s="5">
        <v>3</v>
      </c>
      <c r="P45" s="5">
        <f t="shared" si="4"/>
        <v>4.84948703415089E-4</v>
      </c>
      <c r="Q45" s="5">
        <f t="shared" si="5"/>
        <v>3453.5891903726701</v>
      </c>
      <c r="R45" s="5" t="s">
        <v>161</v>
      </c>
      <c r="S45" s="5" t="s">
        <v>162</v>
      </c>
      <c r="T45" s="5">
        <v>6.9597303264995802E-2</v>
      </c>
      <c r="U45" s="5">
        <v>2.7687896416453998E-3</v>
      </c>
      <c r="V45" s="5">
        <v>3.6529145158526302E-2</v>
      </c>
      <c r="W45" s="5">
        <v>2.3283003804745401E-3</v>
      </c>
      <c r="X45" s="5">
        <v>0.32352999999999998</v>
      </c>
      <c r="Y45" s="5">
        <v>1.3377115533626799E-2</v>
      </c>
      <c r="Z45" s="5">
        <v>0.21152349000000001</v>
      </c>
      <c r="AA45" s="5">
        <v>1.17305668558684E-2</v>
      </c>
      <c r="AB45" s="5">
        <v>-118.682812934032</v>
      </c>
      <c r="AC45" s="5">
        <v>1.34665205826546</v>
      </c>
      <c r="AD45" s="5">
        <v>-26.748905147746399</v>
      </c>
      <c r="AE45" s="5">
        <v>2.4989199236937498</v>
      </c>
      <c r="AH45" s="5">
        <v>0.33</v>
      </c>
      <c r="AI45" s="5">
        <v>0.02</v>
      </c>
      <c r="AJ45" s="5" t="s">
        <v>161</v>
      </c>
      <c r="AK45" s="5" t="s">
        <v>162</v>
      </c>
      <c r="AL45" s="5" t="s">
        <v>189</v>
      </c>
    </row>
    <row r="46" spans="3:38" s="2" customFormat="1" x14ac:dyDescent="0.4">
      <c r="C46" s="2" t="s">
        <v>84</v>
      </c>
      <c r="D46" s="2" t="s">
        <v>85</v>
      </c>
      <c r="M46" s="4"/>
    </row>
    <row r="47" spans="3:38" s="2" customFormat="1" x14ac:dyDescent="0.4">
      <c r="C47" s="2" t="s">
        <v>110</v>
      </c>
      <c r="D47" s="2" t="s">
        <v>111</v>
      </c>
      <c r="M47" s="4"/>
    </row>
    <row r="48" spans="3:38" s="2" customFormat="1" x14ac:dyDescent="0.4">
      <c r="C48" s="2" t="s">
        <v>88</v>
      </c>
      <c r="D48" s="2" t="s">
        <v>89</v>
      </c>
      <c r="M48" s="4"/>
    </row>
    <row r="49" spans="3:13" s="2" customFormat="1" x14ac:dyDescent="0.4">
      <c r="C49" s="2" t="s">
        <v>112</v>
      </c>
      <c r="D49" s="2" t="s">
        <v>113</v>
      </c>
      <c r="M4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WBS</dc:creator>
  <cp:lastModifiedBy>WBS</cp:lastModifiedBy>
  <dcterms:created xsi:type="dcterms:W3CDTF">2015-06-05T18:17:20Z</dcterms:created>
  <dcterms:modified xsi:type="dcterms:W3CDTF">2026-02-10T08:53:45Z</dcterms:modified>
</cp:coreProperties>
</file>